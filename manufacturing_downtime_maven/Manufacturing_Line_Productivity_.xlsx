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ython.xml" ContentType="application/vnd.ms-excel.pyth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PC\Desktop\Workstation\2 EXCEL\Porfolio Setup for Excel\3 Work\Manufacturing Downtime\"/>
    </mc:Choice>
  </mc:AlternateContent>
  <xr:revisionPtr revIDLastSave="0" documentId="13_ncr:1_{20DFA7E2-86D2-4182-BDF8-B5BD6856AB73}" xr6:coauthVersionLast="47" xr6:coauthVersionMax="47" xr10:uidLastSave="{00000000-0000-0000-0000-000000000000}"/>
  <bookViews>
    <workbookView showHorizontalScroll="0" showVerticalScroll="0" showSheetTabs="0" xWindow="-120" yWindow="-120" windowWidth="29040" windowHeight="15840" xr2:uid="{8FF62ED8-A67E-423F-8325-F23DB684777C}"/>
  </bookViews>
  <sheets>
    <sheet name="dashboard" sheetId="12" r:id="rId1"/>
    <sheet name="pivot" sheetId="11" r:id="rId2"/>
    <sheet name="Sheet1" sheetId="13" r:id="rId3"/>
    <sheet name="Line productivity" sheetId="1" r:id="rId4"/>
    <sheet name="Products" sheetId="8" r:id="rId5"/>
    <sheet name="Downtime factors" sheetId="3" r:id="rId6"/>
    <sheet name="Line downtime" sheetId="2" r:id="rId7"/>
    <sheet name="line_downtime2" sheetId="9" r:id="rId8"/>
  </sheets>
  <definedNames>
    <definedName name="_xlnm._FilterDatabase" localSheetId="5" hidden="1">'Downtime factors'!$A$1:$C$13</definedName>
    <definedName name="_xlnm._FilterDatabase" localSheetId="3" hidden="1">'Line productivity'!$A$1:$F$39</definedName>
    <definedName name="_xlcn.WorksheetConnection_Manufacturing_Line_Productivity.xlsxdonwtime_factors" hidden="1">donwtime_factors[]</definedName>
    <definedName name="_xlcn.WorksheetConnection_Manufacturing_Line_Productivity.xlsxline_downtime2" hidden="1">line_downtime2[]</definedName>
    <definedName name="_xlcn.WorksheetConnection_Manufacturing_Line_Productivity.xlsxline_productivity" hidden="1">line_productivity[]</definedName>
    <definedName name="_xlcn.WorksheetConnection_Manufacturing_Line_Productivity.xlsxproducts" hidden="1">products[]</definedName>
    <definedName name="ExternalData_1" localSheetId="7" hidden="1">line_downtime2!$A$1:$C$62</definedName>
    <definedName name="Slicer_Description">#N/A</definedName>
    <definedName name="Slicer_Flavor">#N/A</definedName>
    <definedName name="Slicer_Operator">#N/A</definedName>
  </definedNames>
  <calcPr calcId="191029"/>
  <pivotCaches>
    <pivotCache cacheId="0" r:id="rId9"/>
    <pivotCache cacheId="1" r:id="rId10"/>
    <pivotCache cacheId="2" r:id="rId11"/>
    <pivotCache cacheId="3" r:id="rId12"/>
    <pivotCache cacheId="10" r:id="rId13"/>
    <pivotCache cacheId="43" r:id="rId14"/>
    <pivotCache cacheId="4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Manufacturing_Line_Productivity.xlsx!products"/>
          <x15:modelTable id="line_productivity" name="line_productivity" connection="WorksheetConnection_Manufacturing_Line_Productivity.xlsx!line_productivity"/>
          <x15:modelTable id="line_downtime2" name="line_downtime2" connection="WorksheetConnection_Manufacturing_Line_Productivity.xlsx!line_downtime2"/>
          <x15:modelTable id="donwtime_factors" name="donwtime_factors" connection="WorksheetConnection_Manufacturing_Line_Productivity.xlsx!donwtime_factors"/>
        </x15:modelTables>
        <x15:modelRelationships>
          <x15:modelRelationship fromTable="line_productivity" fromColumn="Product" toTable="products" toColumn="Product"/>
          <x15:modelRelationship fromTable="line_downtime2" fromColumn="Batch" toTable="line_productivity" toColumn="Batch"/>
          <x15:modelRelationship fromTable="line_downtime2" fromColumn="Factor" toTable="donwtime_factors" toColumn="Factor"/>
        </x15:modelRelationships>
        <x15:extLst>
          <ext xmlns:x16="http://schemas.microsoft.com/office/spreadsheetml/2014/11/main" uri="{9835A34E-60A6-4A7C-AAB8-D5F71C897F49}">
            <x16:modelTimeGroupings>
              <x16:modelTimeGrouping tableName="line_productivity"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line_productivity" columnName="Start Time" columnId="Start Time">
                <x16:calculatedTimeColumn columnName="Start Time (Hour)" columnId="Start Time (Hour)" contentType="hours" isSelected="1"/>
                <x16:calculatedTimeColumn columnName="Start Time (Minute)" columnId="Start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7407AE-CEE6-4077-B457-F4D5F151DB79}"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5DD391BA-4F3F-42FB-9C89-79669D72D1BE}" keepAlive="1" name="Query - Table3" description="Connection to the 'Table3' query in the workbook." type="5" refreshedVersion="7" background="1" saveData="1">
    <dbPr connection="Provider=Microsoft.Mashup.OleDb.1;Data Source=$Workbook$;Location=Table3;Extended Properties=&quot;&quot;" command="SELECT * FROM [Table3]"/>
  </connection>
  <connection id="3" xr16:uid="{CE93E768-F074-46DC-82DE-83F2E47063F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734017A-C4B0-47A9-A367-F579EBC4FC16}" name="WorksheetConnection_Manufacturing_Line_Productivity.xlsx!donwtime_factors" type="102" refreshedVersion="7" minRefreshableVersion="5">
    <extLst>
      <ext xmlns:x15="http://schemas.microsoft.com/office/spreadsheetml/2010/11/main" uri="{DE250136-89BD-433C-8126-D09CA5730AF9}">
        <x15:connection id="donwtime_factors">
          <x15:rangePr sourceName="_xlcn.WorksheetConnection_Manufacturing_Line_Productivity.xlsxdonwtime_factors"/>
        </x15:connection>
      </ext>
    </extLst>
  </connection>
  <connection id="5" xr16:uid="{7911995C-B400-46E8-B06F-6FF06AB03061}" name="WorksheetConnection_Manufacturing_Line_Productivity.xlsx!line_downtime2" type="102" refreshedVersion="7" minRefreshableVersion="5">
    <extLst>
      <ext xmlns:x15="http://schemas.microsoft.com/office/spreadsheetml/2010/11/main" uri="{DE250136-89BD-433C-8126-D09CA5730AF9}">
        <x15:connection id="line_downtime2">
          <x15:rangePr sourceName="_xlcn.WorksheetConnection_Manufacturing_Line_Productivity.xlsxline_downtime2"/>
        </x15:connection>
      </ext>
    </extLst>
  </connection>
  <connection id="6" xr16:uid="{BE78CB45-AC91-4290-80F7-4053A7829F9A}" name="WorksheetConnection_Manufacturing_Line_Productivity.xlsx!line_productivity" type="102" refreshedVersion="7" minRefreshableVersion="5">
    <extLst>
      <ext xmlns:x15="http://schemas.microsoft.com/office/spreadsheetml/2010/11/main" uri="{DE250136-89BD-433C-8126-D09CA5730AF9}">
        <x15:connection id="line_productivity">
          <x15:rangePr sourceName="_xlcn.WorksheetConnection_Manufacturing_Line_Productivity.xlsxline_productivity"/>
        </x15:connection>
      </ext>
    </extLst>
  </connection>
  <connection id="7" xr16:uid="{4B22DD8A-1CF2-4039-A1E0-D482C723B386}" name="WorksheetConnection_Manufacturing_Line_Productivity.xlsx!products" type="102" refreshedVersion="7" minRefreshableVersion="5">
    <extLst>
      <ext xmlns:x15="http://schemas.microsoft.com/office/spreadsheetml/2010/11/main" uri="{DE250136-89BD-433C-8126-D09CA5730AF9}">
        <x15:connection id="products">
          <x15:rangePr sourceName="_xlcn.WorksheetConnection_Manufacturing_Line_Productivity.xlsxproduct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onwtime_factors].[Operator Error].&amp;[Yes]}"/>
  </metadataStrings>
  <mdxMetadata count="1">
    <mdx n="0" f="s">
      <ms ns="1" c="0"/>
    </mdx>
  </mdxMetadata>
  <valueMetadata count="1">
    <bk>
      <rc t="1"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<sst xmlns="http://schemas.openxmlformats.org/spreadsheetml/2006/main" count="216" uniqueCount="64">
  <si>
    <t>Date</t>
  </si>
  <si>
    <t>Product</t>
  </si>
  <si>
    <t>Batch</t>
  </si>
  <si>
    <t>Operator</t>
  </si>
  <si>
    <t>Start Time</t>
  </si>
  <si>
    <t>End Time</t>
  </si>
  <si>
    <t>Factor</t>
  </si>
  <si>
    <t>Operator Error</t>
  </si>
  <si>
    <t>Batch change</t>
  </si>
  <si>
    <t>Machine adjustment</t>
  </si>
  <si>
    <t>Product spill</t>
  </si>
  <si>
    <t>Label switch</t>
  </si>
  <si>
    <t>Machine failure</t>
  </si>
  <si>
    <t>Batch coding error</t>
  </si>
  <si>
    <t>Inventory shortage</t>
  </si>
  <si>
    <t>Conveyor belt jam</t>
  </si>
  <si>
    <t>Other</t>
  </si>
  <si>
    <t>Emergency stop</t>
  </si>
  <si>
    <t>Calibration error</t>
  </si>
  <si>
    <t>Labeling error</t>
  </si>
  <si>
    <t>No</t>
  </si>
  <si>
    <t>Yes</t>
  </si>
  <si>
    <t>Description</t>
  </si>
  <si>
    <t>OR-600</t>
  </si>
  <si>
    <t>LE-600</t>
  </si>
  <si>
    <t>CO-600</t>
  </si>
  <si>
    <t>DC-600</t>
  </si>
  <si>
    <t>RB-600</t>
  </si>
  <si>
    <t>CO-2L</t>
  </si>
  <si>
    <t>Flavor</t>
  </si>
  <si>
    <t>Size</t>
  </si>
  <si>
    <t>Orange</t>
  </si>
  <si>
    <t>Lemon lime</t>
  </si>
  <si>
    <t>Cola</t>
  </si>
  <si>
    <t>Diet Cola</t>
  </si>
  <si>
    <t>Root Beer</t>
  </si>
  <si>
    <t>2 L</t>
  </si>
  <si>
    <t>600 ml</t>
  </si>
  <si>
    <t>Min batch time</t>
  </si>
  <si>
    <t>Charlie</t>
  </si>
  <si>
    <t>Dee</t>
  </si>
  <si>
    <t>Dennis</t>
  </si>
  <si>
    <t>Mac</t>
  </si>
  <si>
    <t>1</t>
  </si>
  <si>
    <t>2</t>
  </si>
  <si>
    <t>3</t>
  </si>
  <si>
    <t>4</t>
  </si>
  <si>
    <t>5</t>
  </si>
  <si>
    <t>6</t>
  </si>
  <si>
    <t>7</t>
  </si>
  <si>
    <t>8</t>
  </si>
  <si>
    <t>9</t>
  </si>
  <si>
    <t>10</t>
  </si>
  <si>
    <t>11</t>
  </si>
  <si>
    <t>12</t>
  </si>
  <si>
    <t>Row Labels</t>
  </si>
  <si>
    <t>Grand Total</t>
  </si>
  <si>
    <t>Downtime(minute)</t>
  </si>
  <si>
    <t>Sum of Downtime(minute)</t>
  </si>
  <si>
    <t>Efficiency_product</t>
  </si>
  <si>
    <t>% cumulative</t>
  </si>
  <si>
    <t>% of downtime factor</t>
  </si>
  <si>
    <t>Average all operator</t>
  </si>
  <si>
    <t>Average of Downtime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</si>
</sst>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hh:mm:ss"/>
    <numFmt numFmtId="166" formatCode="0.00%;\-0.00%;0.00%"/>
  </numFmts>
  <fonts count="4">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4" tint="0.79998168889431442"/>
        <bgColor theme="4" tint="0.79998168889431442"/>
      </patternFill>
    </fill>
  </fills>
  <borders count="1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1">
    <xf numFmtId="0" fontId="0" fillId="0" borderId="0" xfId="0"/>
    <xf numFmtId="164" fontId="0" fillId="0" borderId="0" xfId="0" applyNumberFormat="1"/>
    <xf numFmtId="0" fontId="1" fillId="2" borderId="0" xfId="0" applyFont="1" applyFill="1"/>
    <xf numFmtId="165" fontId="0" fillId="0" borderId="0" xfId="0" applyNumberFormat="1"/>
    <xf numFmtId="0" fontId="0" fillId="0" borderId="1" xfId="0" applyBorder="1"/>
    <xf numFmtId="0" fontId="0" fillId="0" borderId="2" xfId="0" applyBorder="1"/>
    <xf numFmtId="0" fontId="0" fillId="0" borderId="3" xfId="0" applyBorder="1"/>
    <xf numFmtId="0" fontId="3" fillId="2" borderId="4" xfId="0" applyFont="1" applyFill="1" applyBorder="1"/>
    <xf numFmtId="0" fontId="3" fillId="2" borderId="5" xfId="0" applyFont="1" applyFill="1" applyBorder="1"/>
    <xf numFmtId="0" fontId="3"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2" fontId="0" fillId="0" borderId="0" xfId="0" applyNumberForma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NumberFormat="1"/>
  </cellXfs>
  <cellStyles count="1">
    <cellStyle name="Normal" xfId="0" builtinId="0"/>
  </cellStyles>
  <dxfs count="6">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
      <numFmt numFmtId="165" formatCode="hh:mm:ss"/>
    </dxf>
    <dxf>
      <numFmt numFmtId="165" formatCode="hh:mm:ss"/>
    </dxf>
    <dxf>
      <numFmt numFmtId="164" formatCode="yyyy\-mm\-dd;@"/>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4.xml"/><Relationship Id="rId11" Type="http://schemas.openxmlformats.org/officeDocument/2006/relationships/pivotCacheDefinition" Target="pivotCache/pivotCacheDefinition3.xml"/><Relationship Id="rId24" Type="http://schemas.openxmlformats.org/officeDocument/2006/relationships/sheetMetadata" Target="metadata.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2.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52" Type="http://schemas.microsoft.com/office/2023/09/relationships/Python" Target="pyth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[Manufacturing_Line_Productivity_.xlsx]pivot!PivotTable2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Pareto Chart of Downtimes</a:t>
            </a:r>
            <a:r>
              <a:rPr lang="en-US" baseline="0"/>
              <a:t> factors vs Downtime minute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Downtime(minute)</c:v>
                </c:pt>
              </c:strCache>
            </c:strRef>
          </c:tx>
          <c:spPr>
            <a:solidFill>
              <a:schemeClr val="accent1"/>
            </a:solidFill>
            <a:ln>
              <a:noFill/>
            </a:ln>
            <a:effectLst/>
          </c:spPr>
          <c:invertIfNegative val="0"/>
          <c:cat>
            <c:strRef>
              <c:f>pivot!$A$4:$A$15</c:f>
              <c:strCache>
                <c:ptCount val="11"/>
                <c:pt idx="0">
                  <c:v>Machine adjustment</c:v>
                </c:pt>
                <c:pt idx="1">
                  <c:v>Machine failure</c:v>
                </c:pt>
                <c:pt idx="2">
                  <c:v>Inventory shortage</c:v>
                </c:pt>
                <c:pt idx="3">
                  <c:v>Batch change</c:v>
                </c:pt>
                <c:pt idx="4">
                  <c:v>Batch coding error</c:v>
                </c:pt>
                <c:pt idx="5">
                  <c:v>Other</c:v>
                </c:pt>
                <c:pt idx="6">
                  <c:v>Product spill</c:v>
                </c:pt>
                <c:pt idx="7">
                  <c:v>Calibration error</c:v>
                </c:pt>
                <c:pt idx="8">
                  <c:v>Labeling error</c:v>
                </c:pt>
                <c:pt idx="9">
                  <c:v>Label switch</c:v>
                </c:pt>
                <c:pt idx="10">
                  <c:v>Conveyor belt jam</c:v>
                </c:pt>
              </c:strCache>
            </c:strRef>
          </c:cat>
          <c:val>
            <c:numRef>
              <c:f>pivot!$B$4:$B$15</c:f>
              <c:numCache>
                <c:formatCode>General</c:formatCode>
                <c:ptCount val="11"/>
                <c:pt idx="0">
                  <c:v>332</c:v>
                </c:pt>
                <c:pt idx="1">
                  <c:v>254</c:v>
                </c:pt>
                <c:pt idx="2">
                  <c:v>225</c:v>
                </c:pt>
                <c:pt idx="3">
                  <c:v>160</c:v>
                </c:pt>
                <c:pt idx="4">
                  <c:v>145</c:v>
                </c:pt>
                <c:pt idx="5">
                  <c:v>74</c:v>
                </c:pt>
                <c:pt idx="6">
                  <c:v>57</c:v>
                </c:pt>
                <c:pt idx="7">
                  <c:v>49</c:v>
                </c:pt>
                <c:pt idx="8">
                  <c:v>42</c:v>
                </c:pt>
                <c:pt idx="9">
                  <c:v>33</c:v>
                </c:pt>
                <c:pt idx="10">
                  <c:v>17</c:v>
                </c:pt>
              </c:numCache>
            </c:numRef>
          </c:val>
          <c:extLst>
            <c:ext xmlns:c16="http://schemas.microsoft.com/office/drawing/2014/chart" uri="{C3380CC4-5D6E-409C-BE32-E72D297353CC}">
              <c16:uniqueId val="{00000005-94D2-40D6-AEED-BE083028A916}"/>
            </c:ext>
          </c:extLst>
        </c:ser>
        <c:dLbls>
          <c:showLegendKey val="0"/>
          <c:showVal val="0"/>
          <c:showCatName val="0"/>
          <c:showSerName val="0"/>
          <c:showPercent val="0"/>
          <c:showBubbleSize val="0"/>
        </c:dLbls>
        <c:gapWidth val="219"/>
        <c:axId val="1618103232"/>
        <c:axId val="1618089920"/>
      </c:barChart>
      <c:lineChart>
        <c:grouping val="standard"/>
        <c:varyColors val="0"/>
        <c:ser>
          <c:idx val="1"/>
          <c:order val="1"/>
          <c:tx>
            <c:strRef>
              <c:f>pivot!$C$3</c:f>
              <c:strCache>
                <c:ptCount val="1"/>
                <c:pt idx="0">
                  <c:v>% cumulative</c:v>
                </c:pt>
              </c:strCache>
            </c:strRef>
          </c:tx>
          <c:spPr>
            <a:ln w="28575" cap="rnd">
              <a:solidFill>
                <a:schemeClr val="accent2"/>
              </a:solidFill>
              <a:round/>
            </a:ln>
            <a:effectLst/>
          </c:spPr>
          <c:marker>
            <c:symbol val="none"/>
          </c:marker>
          <c:cat>
            <c:strRef>
              <c:f>pivot!$A$4:$A$15</c:f>
              <c:strCache>
                <c:ptCount val="11"/>
                <c:pt idx="0">
                  <c:v>Machine adjustment</c:v>
                </c:pt>
                <c:pt idx="1">
                  <c:v>Machine failure</c:v>
                </c:pt>
                <c:pt idx="2">
                  <c:v>Inventory shortage</c:v>
                </c:pt>
                <c:pt idx="3">
                  <c:v>Batch change</c:v>
                </c:pt>
                <c:pt idx="4">
                  <c:v>Batch coding error</c:v>
                </c:pt>
                <c:pt idx="5">
                  <c:v>Other</c:v>
                </c:pt>
                <c:pt idx="6">
                  <c:v>Product spill</c:v>
                </c:pt>
                <c:pt idx="7">
                  <c:v>Calibration error</c:v>
                </c:pt>
                <c:pt idx="8">
                  <c:v>Labeling error</c:v>
                </c:pt>
                <c:pt idx="9">
                  <c:v>Label switch</c:v>
                </c:pt>
                <c:pt idx="10">
                  <c:v>Conveyor belt jam</c:v>
                </c:pt>
              </c:strCache>
            </c:strRef>
          </c:cat>
          <c:val>
            <c:numRef>
              <c:f>pivot!$C$4:$C$15</c:f>
              <c:numCache>
                <c:formatCode>0.00%</c:formatCode>
                <c:ptCount val="11"/>
                <c:pt idx="0">
                  <c:v>0.23919308357348704</c:v>
                </c:pt>
                <c:pt idx="1">
                  <c:v>0.42219020172910665</c:v>
                </c:pt>
                <c:pt idx="2">
                  <c:v>0.58429394812680113</c:v>
                </c:pt>
                <c:pt idx="3">
                  <c:v>0.69956772334293948</c:v>
                </c:pt>
                <c:pt idx="4">
                  <c:v>0.80403458213256485</c:v>
                </c:pt>
                <c:pt idx="5">
                  <c:v>0.85734870317002887</c:v>
                </c:pt>
                <c:pt idx="6">
                  <c:v>0.89841498559077815</c:v>
                </c:pt>
                <c:pt idx="7">
                  <c:v>0.93371757925072041</c:v>
                </c:pt>
                <c:pt idx="8">
                  <c:v>0.96397694524495681</c:v>
                </c:pt>
                <c:pt idx="9">
                  <c:v>0.98775216138328525</c:v>
                </c:pt>
                <c:pt idx="10">
                  <c:v>1</c:v>
                </c:pt>
              </c:numCache>
            </c:numRef>
          </c:val>
          <c:smooth val="0"/>
          <c:extLst>
            <c:ext xmlns:c16="http://schemas.microsoft.com/office/drawing/2014/chart" uri="{C3380CC4-5D6E-409C-BE32-E72D297353CC}">
              <c16:uniqueId val="{00000006-94D2-40D6-AEED-BE083028A916}"/>
            </c:ext>
          </c:extLst>
        </c:ser>
        <c:dLbls>
          <c:showLegendKey val="0"/>
          <c:showVal val="0"/>
          <c:showCatName val="0"/>
          <c:showSerName val="0"/>
          <c:showPercent val="0"/>
          <c:showBubbleSize val="0"/>
        </c:dLbls>
        <c:marker val="1"/>
        <c:smooth val="0"/>
        <c:axId val="525945951"/>
        <c:axId val="525945535"/>
      </c:lineChart>
      <c:catAx>
        <c:axId val="1618103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Description</a:t>
                </a:r>
                <a:r>
                  <a:rPr lang="en-US" baseline="0"/>
                  <a:t> of factors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89920"/>
        <c:crosses val="autoZero"/>
        <c:auto val="1"/>
        <c:lblAlgn val="ctr"/>
        <c:lblOffset val="100"/>
        <c:noMultiLvlLbl val="0"/>
      </c:catAx>
      <c:valAx>
        <c:axId val="1618089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Downtime</a:t>
                </a:r>
                <a:r>
                  <a:rPr lang="en-US" baseline="0"/>
                  <a:t> minute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103232"/>
        <c:crosses val="autoZero"/>
        <c:crossBetween val="between"/>
      </c:valAx>
      <c:valAx>
        <c:axId val="5259455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945951"/>
        <c:crosses val="max"/>
        <c:crossBetween val="between"/>
      </c:valAx>
      <c:catAx>
        <c:axId val="525945951"/>
        <c:scaling>
          <c:orientation val="minMax"/>
        </c:scaling>
        <c:delete val="1"/>
        <c:axPos val="b"/>
        <c:numFmt formatCode="General" sourceLinked="1"/>
        <c:majorTickMark val="out"/>
        <c:minorTickMark val="none"/>
        <c:tickLblPos val="nextTo"/>
        <c:crossAx val="52594553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[Manufacturing_Line_Productivity_.xlsx]pivot!PivotTable4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line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pivot!$G$4:$G$9</c:f>
              <c:strCache>
                <c:ptCount val="6"/>
                <c:pt idx="0">
                  <c:v>LE-600</c:v>
                </c:pt>
                <c:pt idx="1">
                  <c:v>DC-600</c:v>
                </c:pt>
                <c:pt idx="2">
                  <c:v>CO-600</c:v>
                </c:pt>
                <c:pt idx="3">
                  <c:v>RB-600</c:v>
                </c:pt>
                <c:pt idx="4">
                  <c:v>OR-600</c:v>
                </c:pt>
                <c:pt idx="5">
                  <c:v>CO-2L</c:v>
                </c:pt>
              </c:strCache>
            </c:strRef>
          </c:cat>
          <c:val>
            <c:numRef>
              <c:f>pivot!$H$4:$H$9</c:f>
              <c:numCache>
                <c:formatCode>0.00%;\-0.00%;0.00%</c:formatCode>
                <c:ptCount val="6"/>
                <c:pt idx="0">
                  <c:v>0.6805293005671077</c:v>
                </c:pt>
                <c:pt idx="1">
                  <c:v>0.67605633802816911</c:v>
                </c:pt>
                <c:pt idx="2">
                  <c:v>0.64562410329985653</c:v>
                </c:pt>
                <c:pt idx="3">
                  <c:v>0.61946902654867264</c:v>
                </c:pt>
                <c:pt idx="4">
                  <c:v>0.44444444444444442</c:v>
                </c:pt>
                <c:pt idx="5">
                  <c:v>0.22202084277299503</c:v>
                </c:pt>
              </c:numCache>
            </c:numRef>
          </c:val>
          <c:extLst>
            <c:ext xmlns:c16="http://schemas.microsoft.com/office/drawing/2014/chart" uri="{C3380CC4-5D6E-409C-BE32-E72D297353CC}">
              <c16:uniqueId val="{00000000-35D5-4BD4-BE0E-C75A0C013F25}"/>
            </c:ext>
          </c:extLst>
        </c:ser>
        <c:dLbls>
          <c:dLblPos val="outEnd"/>
          <c:showLegendKey val="0"/>
          <c:showVal val="1"/>
          <c:showCatName val="0"/>
          <c:showSerName val="0"/>
          <c:showPercent val="0"/>
          <c:showBubbleSize val="0"/>
        </c:dLbls>
        <c:gapWidth val="182"/>
        <c:axId val="1059757055"/>
        <c:axId val="1059757471"/>
      </c:barChart>
      <c:catAx>
        <c:axId val="105975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57471"/>
        <c:crosses val="autoZero"/>
        <c:auto val="1"/>
        <c:lblAlgn val="ctr"/>
        <c:lblOffset val="100"/>
        <c:noMultiLvlLbl val="0"/>
      </c:catAx>
      <c:valAx>
        <c:axId val="1059757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Efficiency(%)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5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[Manufacturing_Line_Productivity_.xlsx]pivot!PivotTable5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downtime factor by operator only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solidFill>
              <a:schemeClr val="accent1"/>
            </a:solidFill>
            <a:ln>
              <a:noFill/>
            </a:ln>
            <a:effectLst/>
          </c:spPr>
          <c:invertIfNegative val="0"/>
          <c:cat>
            <c:strRef>
              <c:f>pivot!$A$42:$A$47</c:f>
              <c:strCache>
                <c:ptCount val="6"/>
                <c:pt idx="0">
                  <c:v>Batch coding error</c:v>
                </c:pt>
                <c:pt idx="1">
                  <c:v>Machine adjustment</c:v>
                </c:pt>
                <c:pt idx="2">
                  <c:v>Product spill</c:v>
                </c:pt>
                <c:pt idx="3">
                  <c:v>Batch change</c:v>
                </c:pt>
                <c:pt idx="4">
                  <c:v>Calibration error</c:v>
                </c:pt>
                <c:pt idx="5">
                  <c:v>Label switch</c:v>
                </c:pt>
              </c:strCache>
            </c:strRef>
          </c:cat>
          <c:val>
            <c:numRef>
              <c:f>pivot!$B$42:$B$47</c:f>
              <c:numCache>
                <c:formatCode>0.00%</c:formatCode>
                <c:ptCount val="6"/>
                <c:pt idx="0">
                  <c:v>0.19298245614035087</c:v>
                </c:pt>
                <c:pt idx="1">
                  <c:v>0.51754385964912286</c:v>
                </c:pt>
                <c:pt idx="2">
                  <c:v>9.6491228070175433E-2</c:v>
                </c:pt>
                <c:pt idx="3">
                  <c:v>4.3859649122807015E-2</c:v>
                </c:pt>
                <c:pt idx="4">
                  <c:v>0.10526315789473684</c:v>
                </c:pt>
                <c:pt idx="5">
                  <c:v>4.3859649122807015E-2</c:v>
                </c:pt>
              </c:numCache>
            </c:numRef>
          </c:val>
          <c:extLst>
            <c:ext xmlns:c16="http://schemas.microsoft.com/office/drawing/2014/chart" uri="{C3380CC4-5D6E-409C-BE32-E72D297353CC}">
              <c16:uniqueId val="{00000000-2D83-4380-958D-2C62498BE047}"/>
            </c:ext>
          </c:extLst>
        </c:ser>
        <c:dLbls>
          <c:showLegendKey val="0"/>
          <c:showVal val="0"/>
          <c:showCatName val="0"/>
          <c:showSerName val="0"/>
          <c:showPercent val="0"/>
          <c:showBubbleSize val="0"/>
        </c:dLbls>
        <c:gapWidth val="219"/>
        <c:axId val="1607442112"/>
        <c:axId val="1607442528"/>
      </c:barChart>
      <c:catAx>
        <c:axId val="16074421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Downtime factors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42528"/>
        <c:crosses val="autoZero"/>
        <c:auto val="1"/>
        <c:lblAlgn val="ctr"/>
        <c:lblOffset val="100"/>
        <c:noMultiLvlLbl val="0"/>
      </c:catAx>
      <c:valAx>
        <c:axId val="1607442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downtime factor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4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[Manufacturing_Line_Productivity_.xlsx]pivot!PivotTable5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pivot!$B$41</c:f>
              <c:strCache>
                <c:ptCount val="1"/>
                <c:pt idx="0">
                  <c:v>Total</c:v>
                </c:pt>
              </c:strCache>
            </c:strRef>
          </c:tx>
          <c:spPr>
            <a:solidFill>
              <a:schemeClr val="accent1"/>
            </a:solidFill>
            <a:ln>
              <a:noFill/>
            </a:ln>
            <a:effectLst/>
          </c:spPr>
          <c:invertIfNegative val="0"/>
          <c:cat>
            <c:strRef>
              <c:f>pivot!$A$42:$A$47</c:f>
              <c:strCache>
                <c:ptCount val="6"/>
                <c:pt idx="0">
                  <c:v>Batch coding error</c:v>
                </c:pt>
                <c:pt idx="1">
                  <c:v>Machine adjustment</c:v>
                </c:pt>
                <c:pt idx="2">
                  <c:v>Product spill</c:v>
                </c:pt>
                <c:pt idx="3">
                  <c:v>Batch change</c:v>
                </c:pt>
                <c:pt idx="4">
                  <c:v>Calibration error</c:v>
                </c:pt>
                <c:pt idx="5">
                  <c:v>Label switch</c:v>
                </c:pt>
              </c:strCache>
            </c:strRef>
          </c:cat>
          <c:val>
            <c:numRef>
              <c:f>pivot!$B$42:$B$47</c:f>
              <c:numCache>
                <c:formatCode>0.00%</c:formatCode>
                <c:ptCount val="6"/>
                <c:pt idx="0">
                  <c:v>0.19298245614035087</c:v>
                </c:pt>
                <c:pt idx="1">
                  <c:v>0.51754385964912286</c:v>
                </c:pt>
                <c:pt idx="2">
                  <c:v>9.6491228070175433E-2</c:v>
                </c:pt>
                <c:pt idx="3">
                  <c:v>4.3859649122807015E-2</c:v>
                </c:pt>
                <c:pt idx="4">
                  <c:v>0.10526315789473684</c:v>
                </c:pt>
                <c:pt idx="5">
                  <c:v>4.3859649122807015E-2</c:v>
                </c:pt>
              </c:numCache>
            </c:numRef>
          </c:val>
          <c:extLst>
            <c:ext xmlns:c16="http://schemas.microsoft.com/office/drawing/2014/chart" uri="{C3380CC4-5D6E-409C-BE32-E72D297353CC}">
              <c16:uniqueId val="{00000000-D7CB-4A80-B3E8-92A0B6318897}"/>
            </c:ext>
          </c:extLst>
        </c:ser>
        <c:dLbls>
          <c:showLegendKey val="0"/>
          <c:showVal val="0"/>
          <c:showCatName val="0"/>
          <c:showSerName val="0"/>
          <c:showPercent val="0"/>
          <c:showBubbleSize val="0"/>
        </c:dLbls>
        <c:gapWidth val="219"/>
        <c:overlap val="-27"/>
        <c:axId val="1607442112"/>
        <c:axId val="1607442528"/>
      </c:barChart>
      <c:catAx>
        <c:axId val="160744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42528"/>
        <c:crosses val="autoZero"/>
        <c:auto val="1"/>
        <c:lblAlgn val="ctr"/>
        <c:lblOffset val="100"/>
        <c:noMultiLvlLbl val="0"/>
      </c:catAx>
      <c:valAx>
        <c:axId val="1607442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4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638174</xdr:colOff>
      <xdr:row>15</xdr:row>
      <xdr:rowOff>0</xdr:rowOff>
    </xdr:from>
    <xdr:to>
      <xdr:col>15</xdr:col>
      <xdr:colOff>685799</xdr:colOff>
      <xdr:row>46</xdr:row>
      <xdr:rowOff>1</xdr:rowOff>
    </xdr:to>
    <xdr:graphicFrame macro="">
      <xdr:nvGraphicFramePr>
        <xdr:cNvPr id="3" name="Chart 2">
          <a:extLst>
            <a:ext uri="{FF2B5EF4-FFF2-40B4-BE49-F238E27FC236}">
              <a16:creationId xmlns:a16="http://schemas.microsoft.com/office/drawing/2014/main" id="{F55B5943-48C6-478A-80B3-15E3FF47B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10585</xdr:rowOff>
    </xdr:from>
    <xdr:to>
      <xdr:col>26</xdr:col>
      <xdr:colOff>9524</xdr:colOff>
      <xdr:row>5</xdr:row>
      <xdr:rowOff>0</xdr:rowOff>
    </xdr:to>
    <xdr:sp macro="" textlink="">
      <xdr:nvSpPr>
        <xdr:cNvPr id="4" name="Rectangle 3">
          <a:extLst>
            <a:ext uri="{FF2B5EF4-FFF2-40B4-BE49-F238E27FC236}">
              <a16:creationId xmlns:a16="http://schemas.microsoft.com/office/drawing/2014/main" id="{9EAF7600-BAD0-4529-A785-B6C701D97E0E}"/>
            </a:ext>
          </a:extLst>
        </xdr:cNvPr>
        <xdr:cNvSpPr/>
      </xdr:nvSpPr>
      <xdr:spPr>
        <a:xfrm>
          <a:off x="0" y="21168"/>
          <a:ext cx="17641357" cy="7090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MANUFACTURING</a:t>
          </a:r>
          <a:r>
            <a:rPr lang="en-US" sz="4400" baseline="0"/>
            <a:t> DOWNTIME DASHBOARD</a:t>
          </a:r>
          <a:endParaRPr lang="en-US" sz="4400"/>
        </a:p>
      </xdr:txBody>
    </xdr:sp>
    <xdr:clientData/>
  </xdr:twoCellAnchor>
  <xdr:twoCellAnchor>
    <xdr:from>
      <xdr:col>16</xdr:col>
      <xdr:colOff>0</xdr:colOff>
      <xdr:row>5</xdr:row>
      <xdr:rowOff>19050</xdr:rowOff>
    </xdr:from>
    <xdr:to>
      <xdr:col>25</xdr:col>
      <xdr:colOff>628649</xdr:colOff>
      <xdr:row>26</xdr:row>
      <xdr:rowOff>1</xdr:rowOff>
    </xdr:to>
    <xdr:graphicFrame macro="">
      <xdr:nvGraphicFramePr>
        <xdr:cNvPr id="6" name="Chart 5">
          <a:extLst>
            <a:ext uri="{FF2B5EF4-FFF2-40B4-BE49-F238E27FC236}">
              <a16:creationId xmlns:a16="http://schemas.microsoft.com/office/drawing/2014/main" id="{8F443D7C-5318-487F-BCD5-9F1444727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28575</xdr:colOff>
      <xdr:row>25</xdr:row>
      <xdr:rowOff>123825</xdr:rowOff>
    </xdr:from>
    <xdr:to>
      <xdr:col>3</xdr:col>
      <xdr:colOff>28575</xdr:colOff>
      <xdr:row>36</xdr:row>
      <xdr:rowOff>66675</xdr:rowOff>
    </xdr:to>
    <mc:AlternateContent xmlns:mc="http://schemas.openxmlformats.org/markup-compatibility/2006" xmlns:a14="http://schemas.microsoft.com/office/drawing/2010/main">
      <mc:Choice Requires="a14">
        <xdr:graphicFrame macro="">
          <xdr:nvGraphicFramePr>
            <xdr:cNvPr id="7" name="Flavor">
              <a:extLst>
                <a:ext uri="{FF2B5EF4-FFF2-40B4-BE49-F238E27FC236}">
                  <a16:creationId xmlns:a16="http://schemas.microsoft.com/office/drawing/2014/main" id="{4C185D11-4D9B-4FB2-AEC9-9C16D7AB24D0}"/>
                </a:ext>
              </a:extLst>
            </xdr:cNvPr>
            <xdr:cNvGraphicFramePr/>
          </xdr:nvGraphicFramePr>
          <xdr:xfrm>
            <a:off x="0" y="0"/>
            <a:ext cx="0" cy="0"/>
          </xdr:xfrm>
          <a:graphic>
            <a:graphicData uri="http://schemas.microsoft.com/office/drawing/2010/slicer">
              <sle:slicer xmlns:sle="http://schemas.microsoft.com/office/drawing/2010/slicer" name="Flavor"/>
            </a:graphicData>
          </a:graphic>
        </xdr:graphicFrame>
      </mc:Choice>
      <mc:Fallback xmlns="">
        <xdr:sp macro="" textlink="">
          <xdr:nvSpPr>
            <xdr:cNvPr id="0" name=""/>
            <xdr:cNvSpPr>
              <a:spLocks noTextEdit="1"/>
            </xdr:cNvSpPr>
          </xdr:nvSpPr>
          <xdr:spPr>
            <a:xfrm>
              <a:off x="28575" y="4476750"/>
              <a:ext cx="1800225"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25</xdr:row>
      <xdr:rowOff>171450</xdr:rowOff>
    </xdr:from>
    <xdr:to>
      <xdr:col>25</xdr:col>
      <xdr:colOff>619125</xdr:colOff>
      <xdr:row>46</xdr:row>
      <xdr:rowOff>0</xdr:rowOff>
    </xdr:to>
    <xdr:graphicFrame macro="">
      <xdr:nvGraphicFramePr>
        <xdr:cNvPr id="9" name="Chart 8">
          <a:extLst>
            <a:ext uri="{FF2B5EF4-FFF2-40B4-BE49-F238E27FC236}">
              <a16:creationId xmlns:a16="http://schemas.microsoft.com/office/drawing/2014/main" id="{3B48986D-CA37-4CA5-9E1C-B80D8C86E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438150</xdr:colOff>
      <xdr:row>26</xdr:row>
      <xdr:rowOff>53976</xdr:rowOff>
    </xdr:from>
    <xdr:to>
      <xdr:col>25</xdr:col>
      <xdr:colOff>426720</xdr:colOff>
      <xdr:row>33</xdr:row>
      <xdr:rowOff>67311</xdr:rowOff>
    </xdr:to>
    <mc:AlternateContent xmlns:mc="http://schemas.openxmlformats.org/markup-compatibility/2006" xmlns:a14="http://schemas.microsoft.com/office/drawing/2010/main">
      <mc:Choice Requires="a14">
        <xdr:graphicFrame macro="">
          <xdr:nvGraphicFramePr>
            <xdr:cNvPr id="10" name="Operator">
              <a:extLst>
                <a:ext uri="{FF2B5EF4-FFF2-40B4-BE49-F238E27FC236}">
                  <a16:creationId xmlns:a16="http://schemas.microsoft.com/office/drawing/2014/main" id="{93476607-0F2D-49CA-88C6-FC21FAF78C45}"/>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15954375" y="4587876"/>
              <a:ext cx="136017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33866</xdr:rowOff>
    </xdr:from>
    <xdr:to>
      <xdr:col>3</xdr:col>
      <xdr:colOff>22225</xdr:colOff>
      <xdr:row>25</xdr:row>
      <xdr:rowOff>85726</xdr:rowOff>
    </xdr:to>
    <mc:AlternateContent xmlns:mc="http://schemas.openxmlformats.org/markup-compatibility/2006" xmlns:a14="http://schemas.microsoft.com/office/drawing/2010/main">
      <mc:Choice Requires="a14">
        <xdr:graphicFrame macro="">
          <xdr:nvGraphicFramePr>
            <xdr:cNvPr id="11" name="Description">
              <a:extLst>
                <a:ext uri="{FF2B5EF4-FFF2-40B4-BE49-F238E27FC236}">
                  <a16:creationId xmlns:a16="http://schemas.microsoft.com/office/drawing/2014/main" id="{D96D2F90-7307-4206-A5EA-A11BB06B5087}"/>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0" y="767291"/>
              <a:ext cx="1822450" cy="3671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6</xdr:row>
      <xdr:rowOff>0</xdr:rowOff>
    </xdr:from>
    <xdr:to>
      <xdr:col>6</xdr:col>
      <xdr:colOff>200026</xdr:colOff>
      <xdr:row>14</xdr:row>
      <xdr:rowOff>47625</xdr:rowOff>
    </xdr:to>
    <xdr:grpSp>
      <xdr:nvGrpSpPr>
        <xdr:cNvPr id="15" name="Group 14">
          <a:extLst>
            <a:ext uri="{FF2B5EF4-FFF2-40B4-BE49-F238E27FC236}">
              <a16:creationId xmlns:a16="http://schemas.microsoft.com/office/drawing/2014/main" id="{C2940A02-5EC1-48FF-A57C-176281A2F581}"/>
            </a:ext>
          </a:extLst>
        </xdr:cNvPr>
        <xdr:cNvGrpSpPr/>
      </xdr:nvGrpSpPr>
      <xdr:grpSpPr>
        <a:xfrm>
          <a:off x="2486025" y="914400"/>
          <a:ext cx="1571626" cy="1495425"/>
          <a:chOff x="2114549" y="885824"/>
          <a:chExt cx="1571626" cy="1495425"/>
        </a:xfrm>
      </xdr:grpSpPr>
      <xdr:sp macro="" textlink="">
        <xdr:nvSpPr>
          <xdr:cNvPr id="14" name="Oval 13">
            <a:extLst>
              <a:ext uri="{FF2B5EF4-FFF2-40B4-BE49-F238E27FC236}">
                <a16:creationId xmlns:a16="http://schemas.microsoft.com/office/drawing/2014/main" id="{AF81CC2C-E603-4D25-8076-0C17E1C57CB9}"/>
              </a:ext>
            </a:extLst>
          </xdr:cNvPr>
          <xdr:cNvSpPr/>
        </xdr:nvSpPr>
        <xdr:spPr>
          <a:xfrm>
            <a:off x="2114549" y="885824"/>
            <a:ext cx="1571625" cy="14954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43E4ED42-EFDB-4EAE-B2A9-244AA4B6AED4}"/>
              </a:ext>
            </a:extLst>
          </xdr:cNvPr>
          <xdr:cNvSpPr txBox="1"/>
        </xdr:nvSpPr>
        <xdr:spPr>
          <a:xfrm>
            <a:off x="2124075" y="990600"/>
            <a:ext cx="156210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bg1"/>
                </a:solidFill>
              </a:rPr>
              <a:t>6</a:t>
            </a:r>
            <a:r>
              <a:rPr lang="en-US" sz="2400">
                <a:solidFill>
                  <a:schemeClr val="bg1"/>
                </a:solidFill>
              </a:rPr>
              <a:t> </a:t>
            </a:r>
          </a:p>
          <a:p>
            <a:pPr algn="ctr"/>
            <a:r>
              <a:rPr lang="en-US" sz="1200">
                <a:solidFill>
                  <a:schemeClr val="bg1"/>
                </a:solidFill>
              </a:rPr>
              <a:t>soda flavors</a:t>
            </a:r>
            <a:r>
              <a:rPr lang="en-US" sz="1200" baseline="0">
                <a:solidFill>
                  <a:schemeClr val="bg1"/>
                </a:solidFill>
              </a:rPr>
              <a:t> production line</a:t>
            </a:r>
            <a:endParaRPr lang="en-US" sz="1200">
              <a:solidFill>
                <a:schemeClr val="bg1"/>
              </a:solidFill>
            </a:endParaRPr>
          </a:p>
        </xdr:txBody>
      </xdr:sp>
    </xdr:grpSp>
    <xdr:clientData/>
  </xdr:twoCellAnchor>
  <xdr:twoCellAnchor>
    <xdr:from>
      <xdr:col>6</xdr:col>
      <xdr:colOff>619124</xdr:colOff>
      <xdr:row>6</xdr:row>
      <xdr:rowOff>0</xdr:rowOff>
    </xdr:from>
    <xdr:to>
      <xdr:col>9</xdr:col>
      <xdr:colOff>133350</xdr:colOff>
      <xdr:row>14</xdr:row>
      <xdr:rowOff>47625</xdr:rowOff>
    </xdr:to>
    <xdr:grpSp>
      <xdr:nvGrpSpPr>
        <xdr:cNvPr id="19" name="Group 18">
          <a:extLst>
            <a:ext uri="{FF2B5EF4-FFF2-40B4-BE49-F238E27FC236}">
              <a16:creationId xmlns:a16="http://schemas.microsoft.com/office/drawing/2014/main" id="{593C0B7D-E8E8-47FE-9638-1AC2680B4DE3}"/>
            </a:ext>
          </a:extLst>
        </xdr:cNvPr>
        <xdr:cNvGrpSpPr/>
      </xdr:nvGrpSpPr>
      <xdr:grpSpPr>
        <a:xfrm>
          <a:off x="4476749" y="914400"/>
          <a:ext cx="1571626" cy="1495425"/>
          <a:chOff x="2114549" y="885824"/>
          <a:chExt cx="1571626" cy="1495425"/>
        </a:xfrm>
      </xdr:grpSpPr>
      <xdr:sp macro="" textlink="">
        <xdr:nvSpPr>
          <xdr:cNvPr id="20" name="Oval 19">
            <a:extLst>
              <a:ext uri="{FF2B5EF4-FFF2-40B4-BE49-F238E27FC236}">
                <a16:creationId xmlns:a16="http://schemas.microsoft.com/office/drawing/2014/main" id="{21E72584-C755-42B8-9166-8C8FB8FFD5A1}"/>
              </a:ext>
            </a:extLst>
          </xdr:cNvPr>
          <xdr:cNvSpPr/>
        </xdr:nvSpPr>
        <xdr:spPr>
          <a:xfrm>
            <a:off x="2114549" y="885824"/>
            <a:ext cx="1571625" cy="14954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D46EB62A-C17E-4FCD-86FC-F5A61DB81C34}"/>
              </a:ext>
            </a:extLst>
          </xdr:cNvPr>
          <xdr:cNvSpPr txBox="1"/>
        </xdr:nvSpPr>
        <xdr:spPr>
          <a:xfrm>
            <a:off x="2124075" y="990600"/>
            <a:ext cx="156210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bg1"/>
                </a:solidFill>
              </a:rPr>
              <a:t>38</a:t>
            </a:r>
            <a:r>
              <a:rPr lang="en-US" sz="2400">
                <a:solidFill>
                  <a:schemeClr val="bg1"/>
                </a:solidFill>
              </a:rPr>
              <a:t> </a:t>
            </a:r>
          </a:p>
          <a:p>
            <a:pPr algn="ctr"/>
            <a:r>
              <a:rPr lang="en-US" sz="1200">
                <a:solidFill>
                  <a:schemeClr val="bg1"/>
                </a:solidFill>
              </a:rPr>
              <a:t>batches</a:t>
            </a:r>
          </a:p>
        </xdr:txBody>
      </xdr:sp>
    </xdr:grpSp>
    <xdr:clientData/>
  </xdr:twoCellAnchor>
  <xdr:twoCellAnchor>
    <xdr:from>
      <xdr:col>10</xdr:col>
      <xdr:colOff>0</xdr:colOff>
      <xdr:row>6</xdr:row>
      <xdr:rowOff>28575</xdr:rowOff>
    </xdr:from>
    <xdr:to>
      <xdr:col>12</xdr:col>
      <xdr:colOff>200026</xdr:colOff>
      <xdr:row>14</xdr:row>
      <xdr:rowOff>76200</xdr:rowOff>
    </xdr:to>
    <xdr:grpSp>
      <xdr:nvGrpSpPr>
        <xdr:cNvPr id="25" name="Group 24">
          <a:extLst>
            <a:ext uri="{FF2B5EF4-FFF2-40B4-BE49-F238E27FC236}">
              <a16:creationId xmlns:a16="http://schemas.microsoft.com/office/drawing/2014/main" id="{2550414C-5F22-4FB0-AAED-04FEC7BCBFDF}"/>
            </a:ext>
          </a:extLst>
        </xdr:cNvPr>
        <xdr:cNvGrpSpPr/>
      </xdr:nvGrpSpPr>
      <xdr:grpSpPr>
        <a:xfrm>
          <a:off x="6600825" y="942975"/>
          <a:ext cx="1571626" cy="1495425"/>
          <a:chOff x="2114549" y="885824"/>
          <a:chExt cx="1571626" cy="1495425"/>
        </a:xfrm>
      </xdr:grpSpPr>
      <xdr:sp macro="" textlink="">
        <xdr:nvSpPr>
          <xdr:cNvPr id="26" name="Oval 25">
            <a:extLst>
              <a:ext uri="{FF2B5EF4-FFF2-40B4-BE49-F238E27FC236}">
                <a16:creationId xmlns:a16="http://schemas.microsoft.com/office/drawing/2014/main" id="{A4981161-6DFA-42FA-B02D-37020B2550DF}"/>
              </a:ext>
            </a:extLst>
          </xdr:cNvPr>
          <xdr:cNvSpPr/>
        </xdr:nvSpPr>
        <xdr:spPr>
          <a:xfrm>
            <a:off x="2114549" y="885824"/>
            <a:ext cx="1571625" cy="14954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7A57B3EE-C64B-4529-B41A-57790E8B6DAE}"/>
              </a:ext>
            </a:extLst>
          </xdr:cNvPr>
          <xdr:cNvSpPr txBox="1"/>
        </xdr:nvSpPr>
        <xdr:spPr>
          <a:xfrm>
            <a:off x="2124075" y="990600"/>
            <a:ext cx="156210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bg1"/>
                </a:solidFill>
              </a:rPr>
              <a:t>5</a:t>
            </a:r>
            <a:r>
              <a:rPr lang="en-US" sz="2400">
                <a:solidFill>
                  <a:schemeClr val="bg1"/>
                </a:solidFill>
              </a:rPr>
              <a:t> </a:t>
            </a:r>
          </a:p>
          <a:p>
            <a:pPr algn="ctr"/>
            <a:r>
              <a:rPr lang="en-US" sz="1200">
                <a:solidFill>
                  <a:schemeClr val="bg1"/>
                </a:solidFill>
              </a:rPr>
              <a:t>days of production</a:t>
            </a:r>
          </a:p>
        </xdr:txBody>
      </xdr:sp>
    </xdr:grpSp>
    <xdr:clientData/>
  </xdr:twoCellAnchor>
  <xdr:twoCellAnchor>
    <xdr:from>
      <xdr:col>13</xdr:col>
      <xdr:colOff>0</xdr:colOff>
      <xdr:row>6</xdr:row>
      <xdr:rowOff>28575</xdr:rowOff>
    </xdr:from>
    <xdr:to>
      <xdr:col>15</xdr:col>
      <xdr:colOff>200026</xdr:colOff>
      <xdr:row>14</xdr:row>
      <xdr:rowOff>76200</xdr:rowOff>
    </xdr:to>
    <xdr:grpSp>
      <xdr:nvGrpSpPr>
        <xdr:cNvPr id="28" name="Group 27">
          <a:extLst>
            <a:ext uri="{FF2B5EF4-FFF2-40B4-BE49-F238E27FC236}">
              <a16:creationId xmlns:a16="http://schemas.microsoft.com/office/drawing/2014/main" id="{3C82D283-3CF2-4A55-944A-97C16C9892FE}"/>
            </a:ext>
          </a:extLst>
        </xdr:cNvPr>
        <xdr:cNvGrpSpPr/>
      </xdr:nvGrpSpPr>
      <xdr:grpSpPr>
        <a:xfrm>
          <a:off x="8658225" y="942975"/>
          <a:ext cx="1571626" cy="1495425"/>
          <a:chOff x="2114549" y="885824"/>
          <a:chExt cx="1571626" cy="1495425"/>
        </a:xfrm>
      </xdr:grpSpPr>
      <xdr:sp macro="" textlink="">
        <xdr:nvSpPr>
          <xdr:cNvPr id="29" name="Oval 28">
            <a:extLst>
              <a:ext uri="{FF2B5EF4-FFF2-40B4-BE49-F238E27FC236}">
                <a16:creationId xmlns:a16="http://schemas.microsoft.com/office/drawing/2014/main" id="{EDA9C68D-647A-46B4-B4F9-EAB03BD91F17}"/>
              </a:ext>
            </a:extLst>
          </xdr:cNvPr>
          <xdr:cNvSpPr/>
        </xdr:nvSpPr>
        <xdr:spPr>
          <a:xfrm>
            <a:off x="2114549" y="885824"/>
            <a:ext cx="1571625" cy="14954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5979BECC-34AF-4F53-865D-9B1D214D1947}"/>
              </a:ext>
            </a:extLst>
          </xdr:cNvPr>
          <xdr:cNvSpPr txBox="1"/>
        </xdr:nvSpPr>
        <xdr:spPr>
          <a:xfrm>
            <a:off x="2124075" y="990600"/>
            <a:ext cx="156210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bg1"/>
                </a:solidFill>
              </a:rPr>
              <a:t>12</a:t>
            </a:r>
            <a:r>
              <a:rPr lang="en-US" sz="2400">
                <a:solidFill>
                  <a:schemeClr val="bg1"/>
                </a:solidFill>
              </a:rPr>
              <a:t> </a:t>
            </a:r>
          </a:p>
          <a:p>
            <a:pPr algn="ctr"/>
            <a:r>
              <a:rPr lang="en-US" sz="1200">
                <a:solidFill>
                  <a:schemeClr val="bg1"/>
                </a:solidFill>
              </a:rPr>
              <a:t>downtime factors</a:t>
            </a:r>
          </a:p>
        </xdr:txBody>
      </xdr:sp>
    </xdr:grpSp>
    <xdr:clientData/>
  </xdr:twoCellAnchor>
  <xdr:twoCellAnchor editAs="oneCell">
    <xdr:from>
      <xdr:col>0</xdr:col>
      <xdr:colOff>0</xdr:colOff>
      <xdr:row>1</xdr:row>
      <xdr:rowOff>11643</xdr:rowOff>
    </xdr:from>
    <xdr:to>
      <xdr:col>4</xdr:col>
      <xdr:colOff>95250</xdr:colOff>
      <xdr:row>4</xdr:row>
      <xdr:rowOff>23289</xdr:rowOff>
    </xdr:to>
    <xdr:pic>
      <xdr:nvPicPr>
        <xdr:cNvPr id="31" name="Picture 30">
          <a:extLst>
            <a:ext uri="{FF2B5EF4-FFF2-40B4-BE49-F238E27FC236}">
              <a16:creationId xmlns:a16="http://schemas.microsoft.com/office/drawing/2014/main" id="{0716B6B9-1287-44C2-A3A4-383025B0F3E8}"/>
            </a:ext>
          </a:extLst>
        </xdr:cNvPr>
        <xdr:cNvPicPr>
          <a:picLocks noChangeAspect="1"/>
        </xdr:cNvPicPr>
      </xdr:nvPicPr>
      <xdr:blipFill>
        <a:blip xmlns:r="http://schemas.openxmlformats.org/officeDocument/2006/relationships" r:embed="rId4"/>
        <a:stretch>
          <a:fillRect/>
        </a:stretch>
      </xdr:blipFill>
      <xdr:spPr>
        <a:xfrm>
          <a:off x="0" y="21168"/>
          <a:ext cx="2581275" cy="554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881062</xdr:colOff>
      <xdr:row>79</xdr:row>
      <xdr:rowOff>19050</xdr:rowOff>
    </xdr:from>
    <xdr:to>
      <xdr:col>11</xdr:col>
      <xdr:colOff>76200</xdr:colOff>
      <xdr:row>101</xdr:row>
      <xdr:rowOff>19050</xdr:rowOff>
    </xdr:to>
    <xdr:graphicFrame macro="">
      <xdr:nvGraphicFramePr>
        <xdr:cNvPr id="4" name="Chart 3">
          <a:extLst>
            <a:ext uri="{FF2B5EF4-FFF2-40B4-BE49-F238E27FC236}">
              <a16:creationId xmlns:a16="http://schemas.microsoft.com/office/drawing/2014/main" id="{24A40A90-CB2A-4257-B0DA-76123988E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8.495602893519" backgroundQuery="1" createdVersion="7" refreshedVersion="7" minRefreshableVersion="3" recordCount="0" supportSubquery="1" supportAdvancedDrill="1" xr:uid="{1DD8449F-509B-4F35-842B-B2A4ECAF04C0}">
  <cacheSource type="external" connectionId="3"/>
  <cacheFields count="3">
    <cacheField name="[line_productivity].[Operator].[Operator]" caption="Operator" numFmtId="0" hierarchy="9" level="1">
      <sharedItems count="4">
        <s v="Charlie"/>
        <s v="Dee"/>
        <s v="Dennis"/>
        <s v="Mac"/>
      </sharedItems>
    </cacheField>
    <cacheField name="[Measures].[Sum of Downtime(minute)]" caption="Sum of Downtime(minute)" numFmtId="0" hierarchy="30" level="32767"/>
    <cacheField name="[donwtime_factors].[Operator Error].[Operator Error]" caption="Operator Error" numFmtId="0" hierarchy="2" level="1">
      <sharedItems containsSemiMixedTypes="0" containsNonDate="0" containsString="0"/>
    </cacheField>
  </cacheFields>
  <cacheHierarchies count="45">
    <cacheHierarchy uniqueName="[donwtime_factors].[Factor]" caption="Factor" attribute="1" defaultMemberUniqueName="[donwtime_factors].[Factor].[All]" allUniqueName="[donwtime_factors].[Factor].[All]" dimensionUniqueName="[donwtime_factors]" displayFolder="" count="0" memberValueDatatype="20" unbalanced="0"/>
    <cacheHierarchy uniqueName="[donwtime_factors].[Description]" caption="Description" attribute="1" defaultMemberUniqueName="[donwtime_factors].[Description].[All]" allUniqueName="[donwtime_factors].[Description].[All]" dimensionUniqueName="[donwtime_factors]" displayFolder="" count="0" memberValueDatatype="130" unbalanced="0"/>
    <cacheHierarchy uniqueName="[donwtime_factors].[Operator Error]" caption="Operator Error" attribute="1" defaultMemberUniqueName="[donwtime_factors].[Operator Error].[All]" allUniqueName="[donwtime_factors].[Operator Error].[All]" dimensionUniqueName="[donwtime_factors]" displayFolder="" count="2" memberValueDatatype="130" unbalanced="0">
      <fieldsUsage count="2">
        <fieldUsage x="-1"/>
        <fieldUsage x="2"/>
      </fieldsUsage>
    </cacheHierarchy>
    <cacheHierarchy uniqueName="[line_downtime2].[Batch]" caption="Batch" attribute="1" defaultMemberUniqueName="[line_downtime2].[Batch].[All]" allUniqueName="[line_downtime2].[Batch].[All]" dimensionUniqueName="[line_downtime2]" displayFolder="" count="0" memberValueDatatype="20" unbalanced="0"/>
    <cacheHierarchy uniqueName="[line_downtime2].[Factor]" caption="Factor" attribute="1" defaultMemberUniqueName="[line_downtime2].[Factor].[All]" allUniqueName="[line_downtime2].[Factor].[All]" dimensionUniqueName="[line_downtime2]" displayFolder="" count="0" memberValueDatatype="20" unbalanced="0"/>
    <cacheHierarchy uniqueName="[line_downtime2].[Downtime(minute)]" caption="Downtime(minute)" attribute="1" defaultMemberUniqueName="[line_downtime2].[Downtime(minute)].[All]" allUniqueName="[line_downtime2].[Downtime(minute)].[All]" dimensionUniqueName="[line_downtime2]" displayFolder="" count="0" memberValueDatatype="20" unbalanced="0"/>
    <cacheHierarchy uniqueName="[line_productivity].[Date]" caption="Date" attribute="1" time="1" defaultMemberUniqueName="[line_productivity].[Date].[All]" allUniqueName="[line_productivity].[Date].[All]" dimensionUniqueName="[line_productivity]" displayFolder="" count="0"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0"/>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line_productivity].[Start Time (Hour)]" caption="Start Time (Hour)" attribute="1" defaultMemberUniqueName="[line_productivity].[Start Time (Hour)].[All]" allUniqueName="[line_productivity].[Start Time (Hour)].[All]" dimensionUniqueName="[line_productivity]" displayFolder="" count="0" memberValueDatatype="130" unbalanced="0"/>
    <cacheHierarchy uniqueName="[line_productivity].[Start Time (Minute)]" caption="Start Time (Minute)" attribute="1" defaultMemberUniqueName="[line_productivity].[Start Time (Minute)].[All]" allUniqueName="[line_productivity].[Start Time (Minute)].[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Total_min]" caption="Total_min" measure="1" displayFolder="" measureGroup="line_productivity" count="0"/>
    <cacheHierarchy uniqueName="[Measures].[Efficiency]" caption="Efficiency" measure="1" displayFolder="" measureGroup="line_productivity" count="0"/>
    <cacheHierarchy uniqueName="[Measures].[min product time]" caption="min product time" measure="1" displayFolder="" measureGroup="line_productivity" count="0"/>
    <cacheHierarchy uniqueName="[Measures].[Efficiency_product]" caption="Efficiency_product" measure="1" displayFolder="" measureGroup="line_productivity" count="0"/>
    <cacheHierarchy uniqueName="[Measures].[total_av_dt_operator]" caption="total_av_dt_operator" measure="1" displayFolder="" measureGroup="line_productivity" count="0"/>
    <cacheHierarchy uniqueName="[Measures].[__XL_Count line_productivity]" caption="__XL_Count line_productivity" measure="1" displayFolder="" measureGroup="line_productivity" count="0" hidden="1"/>
    <cacheHierarchy uniqueName="[Measures].[__XL_Count products]" caption="__XL_Count products" measure="1" displayFolder="" measureGroup="products" count="0" hidden="1"/>
    <cacheHierarchy uniqueName="[Measures].[__XL_Count line_downtime2]" caption="__XL_Count line_downtime2" measure="1" displayFolder="" measureGroup="line_downtime2" count="0" hidden="1"/>
    <cacheHierarchy uniqueName="[Measures].[__XL_Count donwtime_factors]" caption="__XL_Count donwtime_factors" measure="1" displayFolder="" measureGroup="donwtime_factors" count="0" hidden="1"/>
    <cacheHierarchy uniqueName="[Measures].[__No measures defined]" caption="__No measures defined" measure="1" displayFolder="" count="0" hidden="1"/>
    <cacheHierarchy uniqueName="[Measures].[Sum of Downtime(minute)]" caption="Sum of Downtime(minute)" measure="1" displayFolder="" measureGroup="line_downtime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Min batch time]" caption="Sum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Count of Flavor]" caption="Count of Flavor" measure="1" displayFolder="" measureGroup="products" count="0" hidden="1">
      <extLst>
        <ext xmlns:x15="http://schemas.microsoft.com/office/spreadsheetml/2010/11/main" uri="{B97F6D7D-B522-45F9-BDA1-12C45D357490}">
          <x15:cacheHierarchy aggregatedColumn="16"/>
        </ext>
      </extLst>
    </cacheHierarchy>
    <cacheHierarchy uniqueName="[Measures].[Count of Min batch time]" caption="Count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Min of Min batch time]" caption="Min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Sum of Batch]" caption="Sum of Batch" measure="1" displayFolder="" measureGroup="line_downtime2" count="0" hidden="1">
      <extLst>
        <ext xmlns:x15="http://schemas.microsoft.com/office/spreadsheetml/2010/11/main" uri="{B97F6D7D-B522-45F9-BDA1-12C45D357490}">
          <x15:cacheHierarchy aggregatedColumn="3"/>
        </ext>
      </extLst>
    </cacheHierarchy>
    <cacheHierarchy uniqueName="[Measures].[Sum of Factor]" caption="Sum of Factor" measure="1" displayFolder="" measureGroup="line_downtime2" count="0" hidden="1">
      <extLst>
        <ext xmlns:x15="http://schemas.microsoft.com/office/spreadsheetml/2010/11/main" uri="{B97F6D7D-B522-45F9-BDA1-12C45D357490}">
          <x15:cacheHierarchy aggregatedColumn="4"/>
        </ext>
      </extLst>
    </cacheHierarchy>
    <cacheHierarchy uniqueName="[Measures].[Count of Description]" caption="Count of Description" measure="1" displayFolder="" measureGroup="donwtime_factors" count="0" hidden="1">
      <extLst>
        <ext xmlns:x15="http://schemas.microsoft.com/office/spreadsheetml/2010/11/main" uri="{B97F6D7D-B522-45F9-BDA1-12C45D357490}">
          <x15:cacheHierarchy aggregatedColumn="1"/>
        </ext>
      </extLst>
    </cacheHierarchy>
    <cacheHierarchy uniqueName="[Measures].[Sum of Batch 2]" caption="Sum of Batch 2" measure="1" displayFolder="" measureGroup="line_productivity" count="0" hidden="1">
      <extLst>
        <ext xmlns:x15="http://schemas.microsoft.com/office/spreadsheetml/2010/11/main" uri="{B97F6D7D-B522-45F9-BDA1-12C45D357490}">
          <x15:cacheHierarchy aggregatedColumn="8"/>
        </ext>
      </extLst>
    </cacheHierarchy>
    <cacheHierarchy uniqueName="[Measures].[Count of Batch]" caption="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Average of Downtime(minute)]" caption="Average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Count of Size]" caption="Count of Size" measure="1" displayFolder="" measureGroup="products" count="0" hidden="1">
      <extLst>
        <ext xmlns:x15="http://schemas.microsoft.com/office/spreadsheetml/2010/11/main" uri="{B97F6D7D-B522-45F9-BDA1-12C45D357490}">
          <x15:cacheHierarchy aggregatedColumn="17"/>
        </ext>
      </extLst>
    </cacheHierarchy>
    <cacheHierarchy uniqueName="[Measures].[Sum of Factor 2]" caption="Sum of Factor 2"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caption="Count of Factor"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2]" caption="Count of Factor 2" measure="1" displayFolder="" measureGroup="line_downtime2" count="0" hidden="1">
      <extLst>
        <ext xmlns:x15="http://schemas.microsoft.com/office/spreadsheetml/2010/11/main" uri="{B97F6D7D-B522-45F9-BDA1-12C45D357490}">
          <x15:cacheHierarchy aggregatedColumn="4"/>
        </ext>
      </extLst>
    </cacheHierarchy>
  </cacheHierarchies>
  <kpis count="0"/>
  <dimensions count="5">
    <dimension name="donwtime_factors" uniqueName="[donwtime_factors]" caption="donwtime_factors"/>
    <dimension name="line_downtime2" uniqueName="[line_downtime2]" caption="line_downtime2"/>
    <dimension name="line_productivity" uniqueName="[line_productivity]" caption="line_productivity"/>
    <dimension measure="1" name="Measures" uniqueName="[Measures]" caption="Measures"/>
    <dimension name="products" uniqueName="[products]" caption="products"/>
  </dimensions>
  <measureGroups count="4">
    <measureGroup name="donwtime_factors" caption="donwtime_factors"/>
    <measureGroup name="line_downtime2" caption="line_downtime2"/>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8.043415046297" backgroundQuery="1" createdVersion="7" refreshedVersion="7" minRefreshableVersion="3" recordCount="0" supportSubquery="1" supportAdvancedDrill="1" xr:uid="{6679ECBF-454F-4028-BA80-95644AB34396}">
  <cacheSource type="external" connectionId="3"/>
  <cacheFields count="3">
    <cacheField name="[Measures].[Sum of Downtime(minute)]" caption="Sum of Downtime(minute)" numFmtId="0" hierarchy="30" level="32767"/>
    <cacheField name="[donwtime_factors].[Description].[Description]" caption="Description" numFmtId="0" hierarchy="1" level="1">
      <sharedItems count="6">
        <s v="Batch change"/>
        <s v="Batch coding error"/>
        <s v="Calibration error"/>
        <s v="Label switch"/>
        <s v="Machine adjustment"/>
        <s v="Product spill"/>
      </sharedItems>
    </cacheField>
    <cacheField name="[donwtime_factors].[Operator Error].[Operator Error]" caption="Operator Error" numFmtId="0" hierarchy="2" level="1">
      <sharedItems containsSemiMixedTypes="0" containsNonDate="0" containsString="0"/>
    </cacheField>
  </cacheFields>
  <cacheHierarchies count="45">
    <cacheHierarchy uniqueName="[donwtime_factors].[Factor]" caption="Factor" attribute="1" defaultMemberUniqueName="[donwtime_factors].[Factor].[All]" allUniqueName="[donwtime_factors].[Factor].[All]" dimensionUniqueName="[donwtime_factors]" displayFolder="" count="0" memberValueDatatype="20" unbalanced="0"/>
    <cacheHierarchy uniqueName="[donwtime_factors].[Description]" caption="Description" attribute="1" defaultMemberUniqueName="[donwtime_factors].[Description].[All]" allUniqueName="[donwtime_factors].[Description].[All]" dimensionUniqueName="[donwtime_factors]" displayFolder="" count="2" memberValueDatatype="130" unbalanced="0">
      <fieldsUsage count="2">
        <fieldUsage x="-1"/>
        <fieldUsage x="1"/>
      </fieldsUsage>
    </cacheHierarchy>
    <cacheHierarchy uniqueName="[donwtime_factors].[Operator Error]" caption="Operator Error" attribute="1" defaultMemberUniqueName="[donwtime_factors].[Operator Error].[All]" allUniqueName="[donwtime_factors].[Operator Error].[All]" dimensionUniqueName="[donwtime_factors]" displayFolder="" count="2" memberValueDatatype="130" unbalanced="0">
      <fieldsUsage count="2">
        <fieldUsage x="-1"/>
        <fieldUsage x="2"/>
      </fieldsUsage>
    </cacheHierarchy>
    <cacheHierarchy uniqueName="[line_downtime2].[Batch]" caption="Batch" attribute="1" defaultMemberUniqueName="[line_downtime2].[Batch].[All]" allUniqueName="[line_downtime2].[Batch].[All]" dimensionUniqueName="[line_downtime2]" displayFolder="" count="0" memberValueDatatype="20" unbalanced="0"/>
    <cacheHierarchy uniqueName="[line_downtime2].[Factor]" caption="Factor" attribute="1" defaultMemberUniqueName="[line_downtime2].[Factor].[All]" allUniqueName="[line_downtime2].[Factor].[All]" dimensionUniqueName="[line_downtime2]" displayFolder="" count="0" memberValueDatatype="20" unbalanced="0"/>
    <cacheHierarchy uniqueName="[line_downtime2].[Downtime(minute)]" caption="Downtime(minute)" attribute="1" defaultMemberUniqueName="[line_downtime2].[Downtime(minute)].[All]" allUniqueName="[line_downtime2].[Downtime(minute)].[All]" dimensionUniqueName="[line_downtime2]" displayFolder="" count="0" memberValueDatatype="20" unbalanced="0"/>
    <cacheHierarchy uniqueName="[line_productivity].[Date]" caption="Date" attribute="1" time="1" defaultMemberUniqueName="[line_productivity].[Date].[All]" allUniqueName="[line_productivity].[Date].[All]" dimensionUniqueName="[line_productivity]" displayFolder="" count="0"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0" memberValueDatatype="130" unbalanced="0"/>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line_productivity].[Start Time (Hour)]" caption="Start Time (Hour)" attribute="1" defaultMemberUniqueName="[line_productivity].[Start Time (Hour)].[All]" allUniqueName="[line_productivity].[Start Time (Hour)].[All]" dimensionUniqueName="[line_productivity]" displayFolder="" count="0" memberValueDatatype="130" unbalanced="0"/>
    <cacheHierarchy uniqueName="[line_productivity].[Start Time (Minute)]" caption="Start Time (Minute)" attribute="1" defaultMemberUniqueName="[line_productivity].[Start Time (Minute)].[All]" allUniqueName="[line_productivity].[Start Time (Minute)].[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Total_min]" caption="Total_min" measure="1" displayFolder="" measureGroup="line_productivity" count="0"/>
    <cacheHierarchy uniqueName="[Measures].[Efficiency]" caption="Efficiency" measure="1" displayFolder="" measureGroup="line_productivity" count="0"/>
    <cacheHierarchy uniqueName="[Measures].[min product time]" caption="min product time" measure="1" displayFolder="" measureGroup="line_productivity" count="0"/>
    <cacheHierarchy uniqueName="[Measures].[Efficiency_product]" caption="Efficiency_product" measure="1" displayFolder="" measureGroup="line_productivity" count="0"/>
    <cacheHierarchy uniqueName="[Measures].[total_av_dt_operator]" caption="total_av_dt_operator" measure="1" displayFolder="" measureGroup="line_productivity" count="0"/>
    <cacheHierarchy uniqueName="[Measures].[__XL_Count line_productivity]" caption="__XL_Count line_productivity" measure="1" displayFolder="" measureGroup="line_productivity" count="0" hidden="1"/>
    <cacheHierarchy uniqueName="[Measures].[__XL_Count products]" caption="__XL_Count products" measure="1" displayFolder="" measureGroup="products" count="0" hidden="1"/>
    <cacheHierarchy uniqueName="[Measures].[__XL_Count line_downtime2]" caption="__XL_Count line_downtime2" measure="1" displayFolder="" measureGroup="line_downtime2" count="0" hidden="1"/>
    <cacheHierarchy uniqueName="[Measures].[__XL_Count donwtime_factors]" caption="__XL_Count donwtime_factors" measure="1" displayFolder="" measureGroup="donwtime_factors" count="0" hidden="1"/>
    <cacheHierarchy uniqueName="[Measures].[__No measures defined]" caption="__No measures defined" measure="1" displayFolder="" count="0" hidden="1"/>
    <cacheHierarchy uniqueName="[Measures].[Sum of Downtime(minute)]" caption="Sum of Downtime(minute)" measure="1" displayFolder="" measureGroup="line_downtime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Min batch time]" caption="Sum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Count of Flavor]" caption="Count of Flavor" measure="1" displayFolder="" measureGroup="products" count="0" hidden="1">
      <extLst>
        <ext xmlns:x15="http://schemas.microsoft.com/office/spreadsheetml/2010/11/main" uri="{B97F6D7D-B522-45F9-BDA1-12C45D357490}">
          <x15:cacheHierarchy aggregatedColumn="16"/>
        </ext>
      </extLst>
    </cacheHierarchy>
    <cacheHierarchy uniqueName="[Measures].[Count of Min batch time]" caption="Count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Min of Min batch time]" caption="Min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Sum of Batch]" caption="Sum of Batch" measure="1" displayFolder="" measureGroup="line_downtime2" count="0" hidden="1">
      <extLst>
        <ext xmlns:x15="http://schemas.microsoft.com/office/spreadsheetml/2010/11/main" uri="{B97F6D7D-B522-45F9-BDA1-12C45D357490}">
          <x15:cacheHierarchy aggregatedColumn="3"/>
        </ext>
      </extLst>
    </cacheHierarchy>
    <cacheHierarchy uniqueName="[Measures].[Sum of Factor]" caption="Sum of Factor" measure="1" displayFolder="" measureGroup="line_downtime2" count="0" hidden="1">
      <extLst>
        <ext xmlns:x15="http://schemas.microsoft.com/office/spreadsheetml/2010/11/main" uri="{B97F6D7D-B522-45F9-BDA1-12C45D357490}">
          <x15:cacheHierarchy aggregatedColumn="4"/>
        </ext>
      </extLst>
    </cacheHierarchy>
    <cacheHierarchy uniqueName="[Measures].[Count of Description]" caption="Count of Description" measure="1" displayFolder="" measureGroup="donwtime_factors" count="0" hidden="1">
      <extLst>
        <ext xmlns:x15="http://schemas.microsoft.com/office/spreadsheetml/2010/11/main" uri="{B97F6D7D-B522-45F9-BDA1-12C45D357490}">
          <x15:cacheHierarchy aggregatedColumn="1"/>
        </ext>
      </extLst>
    </cacheHierarchy>
    <cacheHierarchy uniqueName="[Measures].[Sum of Batch 2]" caption="Sum of Batch 2" measure="1" displayFolder="" measureGroup="line_productivity" count="0" hidden="1">
      <extLst>
        <ext xmlns:x15="http://schemas.microsoft.com/office/spreadsheetml/2010/11/main" uri="{B97F6D7D-B522-45F9-BDA1-12C45D357490}">
          <x15:cacheHierarchy aggregatedColumn="8"/>
        </ext>
      </extLst>
    </cacheHierarchy>
    <cacheHierarchy uniqueName="[Measures].[Count of Batch]" caption="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Average of Downtime(minute)]" caption="Average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Count of Size]" caption="Count of Size" measure="1" displayFolder="" measureGroup="products" count="0" hidden="1">
      <extLst>
        <ext xmlns:x15="http://schemas.microsoft.com/office/spreadsheetml/2010/11/main" uri="{B97F6D7D-B522-45F9-BDA1-12C45D357490}">
          <x15:cacheHierarchy aggregatedColumn="17"/>
        </ext>
      </extLst>
    </cacheHierarchy>
    <cacheHierarchy uniqueName="[Measures].[Sum of Factor 2]" caption="Sum of Factor 2"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caption="Count of Factor"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2]" caption="Count of Factor 2" measure="1" displayFolder="" measureGroup="line_downtime2" count="0" hidden="1">
      <extLst>
        <ext xmlns:x15="http://schemas.microsoft.com/office/spreadsheetml/2010/11/main" uri="{B97F6D7D-B522-45F9-BDA1-12C45D357490}">
          <x15:cacheHierarchy aggregatedColumn="4"/>
        </ext>
      </extLst>
    </cacheHierarchy>
  </cacheHierarchies>
  <kpis count="0"/>
  <dimensions count="5">
    <dimension name="donwtime_factors" uniqueName="[donwtime_factors]" caption="donwtime_factors"/>
    <dimension name="line_downtime2" uniqueName="[line_downtime2]" caption="line_downtime2"/>
    <dimension name="line_productivity" uniqueName="[line_productivity]" caption="line_productivity"/>
    <dimension measure="1" name="Measures" uniqueName="[Measures]" caption="Measures"/>
    <dimension name="products" uniqueName="[products]" caption="products"/>
  </dimensions>
  <measureGroups count="4">
    <measureGroup name="donwtime_factors" caption="donwtime_factors"/>
    <measureGroup name="line_downtime2" caption="line_downtime2"/>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8.50407638889" backgroundQuery="1" createdVersion="7" refreshedVersion="7" minRefreshableVersion="3" recordCount="0" supportSubquery="1" supportAdvancedDrill="1" xr:uid="{F8AEFD14-5ABB-4D3D-A85E-9F5003FD60DA}">
  <cacheSource type="external" connectionId="3"/>
  <cacheFields count="0"/>
  <cacheHierarchies count="45">
    <cacheHierarchy uniqueName="[donwtime_factors].[Factor]" caption="Factor" attribute="1" defaultMemberUniqueName="[donwtime_factors].[Factor].[All]" allUniqueName="[donwtime_factors].[Factor].[All]" dimensionUniqueName="[donwtime_factors]" displayFolder="" count="0" memberValueDatatype="20" unbalanced="0"/>
    <cacheHierarchy uniqueName="[donwtime_factors].[Description]" caption="Description" attribute="1" defaultMemberUniqueName="[donwtime_factors].[Description].[All]" allUniqueName="[donwtime_factors].[Description].[All]" dimensionUniqueName="[donwtime_factors]" displayFolder="" count="2" memberValueDatatype="130" unbalanced="0"/>
    <cacheHierarchy uniqueName="[donwtime_factors].[Operator Error]" caption="Operator Error" attribute="1" defaultMemberUniqueName="[donwtime_factors].[Operator Error].[All]" allUniqueName="[donwtime_factors].[Operator Error].[All]" dimensionUniqueName="[donwtime_factors]" displayFolder="" count="0" memberValueDatatype="130" unbalanced="0"/>
    <cacheHierarchy uniqueName="[line_downtime2].[Batch]" caption="Batch" attribute="1" defaultMemberUniqueName="[line_downtime2].[Batch].[All]" allUniqueName="[line_downtime2].[Batch].[All]" dimensionUniqueName="[line_downtime2]" displayFolder="" count="2" memberValueDatatype="20" unbalanced="0"/>
    <cacheHierarchy uniqueName="[line_downtime2].[Factor]" caption="Factor" attribute="1" defaultMemberUniqueName="[line_downtime2].[Factor].[All]" allUniqueName="[line_downtime2].[Factor].[All]" dimensionUniqueName="[line_downtime2]" displayFolder="" count="2" memberValueDatatype="20" unbalanced="0"/>
    <cacheHierarchy uniqueName="[line_downtime2].[Downtime(minute)]" caption="Downtime(minute)" attribute="1" defaultMemberUniqueName="[line_downtime2].[Downtime(minute)].[All]" allUniqueName="[line_downtime2].[Downtime(minute)].[All]" dimensionUniqueName="[line_downtime2]" displayFolder="" count="0" memberValueDatatype="20" unbalanced="0"/>
    <cacheHierarchy uniqueName="[line_productivity].[Date]" caption="Date" attribute="1" time="1" defaultMemberUniqueName="[line_productivity].[Date].[All]" allUniqueName="[line_productivity].[Date].[All]" dimensionUniqueName="[line_productivity]" displayFolder="" count="0" memberValueDatatype="7" unbalanced="0"/>
    <cacheHierarchy uniqueName="[line_productivity].[Product]" caption="Product" attribute="1" defaultMemberUniqueName="[line_productivity].[Product].[All]" allUniqueName="[line_productivity].[Product].[All]" dimensionUniqueName="[line_productivity]" displayFolder="" count="2" memberValueDatatype="130" unbalanced="0"/>
    <cacheHierarchy uniqueName="[line_productivity].[Batch]" caption="Batch" attribute="1" defaultMemberUniqueName="[line_productivity].[Batch].[All]" allUniqueName="[line_productivity].[Batch].[All]" dimensionUniqueName="[line_productivity]" displayFolder="" count="2" memberValueDatatype="20" unbalanced="0"/>
    <cacheHierarchy uniqueName="[line_productivity].[Operator]" caption="Operator" attribute="1" defaultMemberUniqueName="[line_productivity].[Operator].[All]" allUniqueName="[line_productivity].[Operator].[All]" dimensionUniqueName="[line_productivity]" displayFolder="" count="0" memberValueDatatype="130" unbalanced="0"/>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line_productivity].[Start Time (Hour)]" caption="Start Time (Hour)" attribute="1" defaultMemberUniqueName="[line_productivity].[Start Time (Hour)].[All]" allUniqueName="[line_productivity].[Start Time (Hour)].[All]" dimensionUniqueName="[line_productivity]" displayFolder="" count="0" memberValueDatatype="130" unbalanced="0"/>
    <cacheHierarchy uniqueName="[line_productivity].[Start Time (Minute)]" caption="Start Time (Minute)" attribute="1" defaultMemberUniqueName="[line_productivity].[Start Time (Minute)].[All]" allUniqueName="[line_productivity].[Start Time (Minute)].[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Total_min]" caption="Total_min" measure="1" displayFolder="" measureGroup="line_productivity" count="0"/>
    <cacheHierarchy uniqueName="[Measures].[Efficiency]" caption="Efficiency" measure="1" displayFolder="" measureGroup="line_productivity" count="0"/>
    <cacheHierarchy uniqueName="[Measures].[min product time]" caption="min product time" measure="1" displayFolder="" measureGroup="line_productivity" count="0"/>
    <cacheHierarchy uniqueName="[Measures].[Efficiency_product]" caption="Efficiency_product" measure="1" displayFolder="" measureGroup="line_productivity" count="0"/>
    <cacheHierarchy uniqueName="[Measures].[total_av_dt_operator]" caption="total_av_dt_operator" measure="1" displayFolder="" measureGroup="line_productivity" count="0"/>
    <cacheHierarchy uniqueName="[Measures].[__XL_Count line_productivity]" caption="__XL_Count line_productivity" measure="1" displayFolder="" measureGroup="line_productivity" count="0" hidden="1"/>
    <cacheHierarchy uniqueName="[Measures].[__XL_Count products]" caption="__XL_Count products" measure="1" displayFolder="" measureGroup="products" count="0" hidden="1"/>
    <cacheHierarchy uniqueName="[Measures].[__XL_Count line_downtime2]" caption="__XL_Count line_downtime2" measure="1" displayFolder="" measureGroup="line_downtime2" count="0" hidden="1"/>
    <cacheHierarchy uniqueName="[Measures].[__XL_Count donwtime_factors]" caption="__XL_Count donwtime_factors" measure="1" displayFolder="" measureGroup="donwtime_factors" count="0" hidden="1"/>
    <cacheHierarchy uniqueName="[Measures].[__No measures defined]" caption="__No measures defined" measure="1" displayFolder="" count="0" hidden="1"/>
    <cacheHierarchy uniqueName="[Measures].[Sum of Downtime(minute)]" caption="Sum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Sum of Min batch time]" caption="Sum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Count of Flavor]" caption="Count of Flavor" measure="1" displayFolder="" measureGroup="products" count="0" hidden="1">
      <extLst>
        <ext xmlns:x15="http://schemas.microsoft.com/office/spreadsheetml/2010/11/main" uri="{B97F6D7D-B522-45F9-BDA1-12C45D357490}">
          <x15:cacheHierarchy aggregatedColumn="16"/>
        </ext>
      </extLst>
    </cacheHierarchy>
    <cacheHierarchy uniqueName="[Measures].[Count of Min batch time]" caption="Count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Min of Min batch time]" caption="Min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Sum of Batch]" caption="Sum of Batch" measure="1" displayFolder="" measureGroup="line_downtime2" count="0" hidden="1">
      <extLst>
        <ext xmlns:x15="http://schemas.microsoft.com/office/spreadsheetml/2010/11/main" uri="{B97F6D7D-B522-45F9-BDA1-12C45D357490}">
          <x15:cacheHierarchy aggregatedColumn="3"/>
        </ext>
      </extLst>
    </cacheHierarchy>
    <cacheHierarchy uniqueName="[Measures].[Sum of Factor]" caption="Sum of Factor" measure="1" displayFolder="" measureGroup="line_downtime2" count="0" hidden="1">
      <extLst>
        <ext xmlns:x15="http://schemas.microsoft.com/office/spreadsheetml/2010/11/main" uri="{B97F6D7D-B522-45F9-BDA1-12C45D357490}">
          <x15:cacheHierarchy aggregatedColumn="4"/>
        </ext>
      </extLst>
    </cacheHierarchy>
    <cacheHierarchy uniqueName="[Measures].[Count of Description]" caption="Count of Description" measure="1" displayFolder="" measureGroup="donwtime_factors" count="0" hidden="1">
      <extLst>
        <ext xmlns:x15="http://schemas.microsoft.com/office/spreadsheetml/2010/11/main" uri="{B97F6D7D-B522-45F9-BDA1-12C45D357490}">
          <x15:cacheHierarchy aggregatedColumn="1"/>
        </ext>
      </extLst>
    </cacheHierarchy>
    <cacheHierarchy uniqueName="[Measures].[Sum of Batch 2]" caption="Sum of Batch 2" measure="1" displayFolder="" measureGroup="line_productivity" count="0" hidden="1">
      <extLst>
        <ext xmlns:x15="http://schemas.microsoft.com/office/spreadsheetml/2010/11/main" uri="{B97F6D7D-B522-45F9-BDA1-12C45D357490}">
          <x15:cacheHierarchy aggregatedColumn="8"/>
        </ext>
      </extLst>
    </cacheHierarchy>
    <cacheHierarchy uniqueName="[Measures].[Count of Batch]" caption="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Average of Downtime(minute)]" caption="Average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Count of Size]" caption="Count of Size" measure="1" displayFolder="" measureGroup="products" count="0" hidden="1">
      <extLst>
        <ext xmlns:x15="http://schemas.microsoft.com/office/spreadsheetml/2010/11/main" uri="{B97F6D7D-B522-45F9-BDA1-12C45D357490}">
          <x15:cacheHierarchy aggregatedColumn="17"/>
        </ext>
      </extLst>
    </cacheHierarchy>
    <cacheHierarchy uniqueName="[Measures].[Sum of Factor 2]" caption="Sum of Factor 2"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caption="Count of Factor"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2]" caption="Count of Factor 2" measure="1" displayFolder="" measureGroup="line_downtime2" count="0" hidden="1">
      <extLst>
        <ext xmlns:x15="http://schemas.microsoft.com/office/spreadsheetml/2010/11/main" uri="{B97F6D7D-B522-45F9-BDA1-12C45D357490}">
          <x15:cacheHierarchy aggregatedColumn="4"/>
        </ext>
      </extLst>
    </cacheHierarchy>
  </cacheHierarchies>
  <kpis count="0"/>
  <dimensions count="5">
    <dimension name="donwtime_factors" uniqueName="[donwtime_factors]" caption="donwtime_factors"/>
    <dimension name="line_downtime2" uniqueName="[line_downtime2]" caption="line_downtime2"/>
    <dimension name="line_productivity" uniqueName="[line_productivity]" caption="line_productivity"/>
    <dimension measure="1" name="Measures" uniqueName="[Measures]" caption="Measures"/>
    <dimension name="products" uniqueName="[products]" caption="products"/>
  </dimensions>
  <measureGroups count="4">
    <measureGroup name="donwtime_factors" caption="donwtime_factors"/>
    <measureGroup name="line_downtime2" caption="line_downtime2"/>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8.522032523149" backgroundQuery="1" createdVersion="7" refreshedVersion="7" minRefreshableVersion="3" recordCount="0" supportSubquery="1" supportAdvancedDrill="1" xr:uid="{B68B01E6-18B1-416D-A5AC-638274B9943A}">
  <cacheSource type="external" connectionId="3"/>
  <cacheFields count="4">
    <cacheField name="[line_productivity].[Operator].[Operator]" caption="Operator" numFmtId="0" hierarchy="9" level="1">
      <sharedItems count="4">
        <s v="Charlie"/>
        <s v="Dee"/>
        <s v="Dennis"/>
        <s v="Mac"/>
      </sharedItems>
    </cacheField>
    <cacheField name="[Measures].[Average of Downtime(minute)]" caption="Average of Downtime(minute)" numFmtId="0" hierarchy="40" level="32767"/>
    <cacheField name="[Measures].[total_av_dt_operator]" caption="total_av_dt_operator" numFmtId="0" hierarchy="24" level="32767"/>
    <cacheField name="[donwtime_factors].[Description].[Description]" caption="Description" numFmtId="0" hierarchy="1" level="1">
      <sharedItems containsSemiMixedTypes="0" containsNonDate="0" containsString="0"/>
    </cacheField>
  </cacheFields>
  <cacheHierarchies count="45">
    <cacheHierarchy uniqueName="[donwtime_factors].[Factor]" caption="Factor" attribute="1" defaultMemberUniqueName="[donwtime_factors].[Factor].[All]" allUniqueName="[donwtime_factors].[Factor].[All]" dimensionUniqueName="[donwtime_factors]" displayFolder="" count="0" memberValueDatatype="20" unbalanced="0"/>
    <cacheHierarchy uniqueName="[donwtime_factors].[Description]" caption="Description" attribute="1" defaultMemberUniqueName="[donwtime_factors].[Description].[All]" allUniqueName="[donwtime_factors].[Description].[All]" dimensionUniqueName="[donwtime_factors]" displayFolder="" count="2" memberValueDatatype="130" unbalanced="0">
      <fieldsUsage count="2">
        <fieldUsage x="-1"/>
        <fieldUsage x="3"/>
      </fieldsUsage>
    </cacheHierarchy>
    <cacheHierarchy uniqueName="[donwtime_factors].[Operator Error]" caption="Operator Error" attribute="1" defaultMemberUniqueName="[donwtime_factors].[Operator Error].[All]" allUniqueName="[donwtime_factors].[Operator Error].[All]" dimensionUniqueName="[donwtime_factors]" displayFolder="" count="0" memberValueDatatype="130" unbalanced="0"/>
    <cacheHierarchy uniqueName="[line_downtime2].[Batch]" caption="Batch" attribute="1" defaultMemberUniqueName="[line_downtime2].[Batch].[All]" allUniqueName="[line_downtime2].[Batch].[All]" dimensionUniqueName="[line_downtime2]" displayFolder="" count="0" memberValueDatatype="20" unbalanced="0"/>
    <cacheHierarchy uniqueName="[line_downtime2].[Factor]" caption="Factor" attribute="1" defaultMemberUniqueName="[line_downtime2].[Factor].[All]" allUniqueName="[line_downtime2].[Factor].[All]" dimensionUniqueName="[line_downtime2]" displayFolder="" count="0" memberValueDatatype="20" unbalanced="0"/>
    <cacheHierarchy uniqueName="[line_downtime2].[Downtime(minute)]" caption="Downtime(minute)" attribute="1" defaultMemberUniqueName="[line_downtime2].[Downtime(minute)].[All]" allUniqueName="[line_downtime2].[Downtime(minute)].[All]" dimensionUniqueName="[line_downtime2]" displayFolder="" count="0" memberValueDatatype="20" unbalanced="0"/>
    <cacheHierarchy uniqueName="[line_productivity].[Date]" caption="Date" attribute="1" time="1" defaultMemberUniqueName="[line_productivity].[Date].[All]" allUniqueName="[line_productivity].[Date].[All]" dimensionUniqueName="[line_productivity]" displayFolder="" count="0"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0"/>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line_productivity].[Start Time (Hour)]" caption="Start Time (Hour)" attribute="1" defaultMemberUniqueName="[line_productivity].[Start Time (Hour)].[All]" allUniqueName="[line_productivity].[Start Time (Hour)].[All]" dimensionUniqueName="[line_productivity]" displayFolder="" count="0" memberValueDatatype="130" unbalanced="0"/>
    <cacheHierarchy uniqueName="[line_productivity].[Start Time (Minute)]" caption="Start Time (Minute)" attribute="1" defaultMemberUniqueName="[line_productivity].[Start Time (Minute)].[All]" allUniqueName="[line_productivity].[Start Time (Minute)].[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Total_min]" caption="Total_min" measure="1" displayFolder="" measureGroup="line_productivity" count="0"/>
    <cacheHierarchy uniqueName="[Measures].[Efficiency]" caption="Efficiency" measure="1" displayFolder="" measureGroup="line_productivity" count="0"/>
    <cacheHierarchy uniqueName="[Measures].[min product time]" caption="min product time" measure="1" displayFolder="" measureGroup="line_productivity" count="0"/>
    <cacheHierarchy uniqueName="[Measures].[Efficiency_product]" caption="Efficiency_product" measure="1" displayFolder="" measureGroup="line_productivity" count="0"/>
    <cacheHierarchy uniqueName="[Measures].[total_av_dt_operator]" caption="total_av_dt_operator" measure="1" displayFolder="" measureGroup="line_productivity" count="0" oneField="1">
      <fieldsUsage count="1">
        <fieldUsage x="2"/>
      </fieldsUsage>
    </cacheHierarchy>
    <cacheHierarchy uniqueName="[Measures].[__XL_Count line_productivity]" caption="__XL_Count line_productivity" measure="1" displayFolder="" measureGroup="line_productivity" count="0" hidden="1"/>
    <cacheHierarchy uniqueName="[Measures].[__XL_Count products]" caption="__XL_Count products" measure="1" displayFolder="" measureGroup="products" count="0" hidden="1"/>
    <cacheHierarchy uniqueName="[Measures].[__XL_Count line_downtime2]" caption="__XL_Count line_downtime2" measure="1" displayFolder="" measureGroup="line_downtime2" count="0" hidden="1"/>
    <cacheHierarchy uniqueName="[Measures].[__XL_Count donwtime_factors]" caption="__XL_Count donwtime_factors" measure="1" displayFolder="" measureGroup="donwtime_factors" count="0" hidden="1"/>
    <cacheHierarchy uniqueName="[Measures].[__No measures defined]" caption="__No measures defined" measure="1" displayFolder="" count="0" hidden="1"/>
    <cacheHierarchy uniqueName="[Measures].[Sum of Downtime(minute)]" caption="Sum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Sum of Min batch time]" caption="Sum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Count of Flavor]" caption="Count of Flavor" measure="1" displayFolder="" measureGroup="products" count="0" hidden="1">
      <extLst>
        <ext xmlns:x15="http://schemas.microsoft.com/office/spreadsheetml/2010/11/main" uri="{B97F6D7D-B522-45F9-BDA1-12C45D357490}">
          <x15:cacheHierarchy aggregatedColumn="16"/>
        </ext>
      </extLst>
    </cacheHierarchy>
    <cacheHierarchy uniqueName="[Measures].[Count of Min batch time]" caption="Count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Min of Min batch time]" caption="Min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Sum of Batch]" caption="Sum of Batch" measure="1" displayFolder="" measureGroup="line_downtime2" count="0" hidden="1">
      <extLst>
        <ext xmlns:x15="http://schemas.microsoft.com/office/spreadsheetml/2010/11/main" uri="{B97F6D7D-B522-45F9-BDA1-12C45D357490}">
          <x15:cacheHierarchy aggregatedColumn="3"/>
        </ext>
      </extLst>
    </cacheHierarchy>
    <cacheHierarchy uniqueName="[Measures].[Sum of Factor]" caption="Sum of Factor" measure="1" displayFolder="" measureGroup="line_downtime2" count="0" hidden="1">
      <extLst>
        <ext xmlns:x15="http://schemas.microsoft.com/office/spreadsheetml/2010/11/main" uri="{B97F6D7D-B522-45F9-BDA1-12C45D357490}">
          <x15:cacheHierarchy aggregatedColumn="4"/>
        </ext>
      </extLst>
    </cacheHierarchy>
    <cacheHierarchy uniqueName="[Measures].[Count of Description]" caption="Count of Description" measure="1" displayFolder="" measureGroup="donwtime_factors" count="0" hidden="1">
      <extLst>
        <ext xmlns:x15="http://schemas.microsoft.com/office/spreadsheetml/2010/11/main" uri="{B97F6D7D-B522-45F9-BDA1-12C45D357490}">
          <x15:cacheHierarchy aggregatedColumn="1"/>
        </ext>
      </extLst>
    </cacheHierarchy>
    <cacheHierarchy uniqueName="[Measures].[Sum of Batch 2]" caption="Sum of Batch 2" measure="1" displayFolder="" measureGroup="line_productivity" count="0" hidden="1">
      <extLst>
        <ext xmlns:x15="http://schemas.microsoft.com/office/spreadsheetml/2010/11/main" uri="{B97F6D7D-B522-45F9-BDA1-12C45D357490}">
          <x15:cacheHierarchy aggregatedColumn="8"/>
        </ext>
      </extLst>
    </cacheHierarchy>
    <cacheHierarchy uniqueName="[Measures].[Count of Batch]" caption="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Average of Downtime(minute)]" caption="Average of Downtime(minute)" measure="1" displayFolder="" measureGroup="line_downtime2"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Size]" caption="Count of Size" measure="1" displayFolder="" measureGroup="products" count="0" hidden="1">
      <extLst>
        <ext xmlns:x15="http://schemas.microsoft.com/office/spreadsheetml/2010/11/main" uri="{B97F6D7D-B522-45F9-BDA1-12C45D357490}">
          <x15:cacheHierarchy aggregatedColumn="17"/>
        </ext>
      </extLst>
    </cacheHierarchy>
    <cacheHierarchy uniqueName="[Measures].[Sum of Factor 2]" caption="Sum of Factor 2"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caption="Count of Factor"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2]" caption="Count of Factor 2" measure="1" displayFolder="" measureGroup="line_downtime2" count="0" hidden="1">
      <extLst>
        <ext xmlns:x15="http://schemas.microsoft.com/office/spreadsheetml/2010/11/main" uri="{B97F6D7D-B522-45F9-BDA1-12C45D357490}">
          <x15:cacheHierarchy aggregatedColumn="4"/>
        </ext>
      </extLst>
    </cacheHierarchy>
  </cacheHierarchies>
  <kpis count="0"/>
  <dimensions count="5">
    <dimension name="donwtime_factors" uniqueName="[donwtime_factors]" caption="donwtime_factors"/>
    <dimension name="line_downtime2" uniqueName="[line_downtime2]" caption="line_downtime2"/>
    <dimension name="line_productivity" uniqueName="[line_productivity]" caption="line_productivity"/>
    <dimension measure="1" name="Measures" uniqueName="[Measures]" caption="Measures"/>
    <dimension name="products" uniqueName="[products]" caption="products"/>
  </dimensions>
  <measureGroups count="4">
    <measureGroup name="donwtime_factors" caption="donwtime_factors"/>
    <measureGroup name="line_downtime2" caption="line_downtime2"/>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8.616158333331" backgroundQuery="1" createdVersion="7" refreshedVersion="7" minRefreshableVersion="3" recordCount="0" supportSubquery="1" supportAdvancedDrill="1" xr:uid="{84F3F327-5954-4E6A-8E74-F652569D896A}">
  <cacheSource type="external" connectionId="3"/>
  <cacheFields count="4">
    <cacheField name="[Measures].[Sum of Downtime(minute)]" caption="Sum of Downtime(minute)" numFmtId="0" hierarchy="30" level="32767"/>
    <cacheField name="[donwtime_factors].[Operator Error].[Operator Error]" caption="Operator Error" numFmtId="0" hierarchy="2" level="1">
      <sharedItems containsSemiMixedTypes="0" containsNonDate="0" containsString="0"/>
    </cacheField>
    <cacheField name="[donwtime_factors].[Description].[Description]" caption="Description" numFmtId="0" hierarchy="1" level="1">
      <sharedItems count="6">
        <s v="Batch change"/>
        <s v="Batch coding error"/>
        <s v="Calibration error"/>
        <s v="Label switch"/>
        <s v="Machine adjustment"/>
        <s v="Product spill"/>
      </sharedItems>
    </cacheField>
    <cacheField name="[line_productivity].[Operator].[Operator]" caption="Operator" numFmtId="0" hierarchy="9" level="1">
      <sharedItems containsSemiMixedTypes="0" containsNonDate="0" containsString="0"/>
    </cacheField>
  </cacheFields>
  <cacheHierarchies count="45">
    <cacheHierarchy uniqueName="[donwtime_factors].[Factor]" caption="Factor" attribute="1" defaultMemberUniqueName="[donwtime_factors].[Factor].[All]" allUniqueName="[donwtime_factors].[Factor].[All]" dimensionUniqueName="[donwtime_factors]" displayFolder="" count="2" memberValueDatatype="20" unbalanced="0"/>
    <cacheHierarchy uniqueName="[donwtime_factors].[Description]" caption="Description" attribute="1" defaultMemberUniqueName="[donwtime_factors].[Description].[All]" allUniqueName="[donwtime_factors].[Description].[All]" dimensionUniqueName="[donwtime_factors]" displayFolder="" count="2" memberValueDatatype="130" unbalanced="0">
      <fieldsUsage count="2">
        <fieldUsage x="-1"/>
        <fieldUsage x="2"/>
      </fieldsUsage>
    </cacheHierarchy>
    <cacheHierarchy uniqueName="[donwtime_factors].[Operator Error]" caption="Operator Error" attribute="1" defaultMemberUniqueName="[donwtime_factors].[Operator Error].[All]" allUniqueName="[donwtime_factors].[Operator Error].[All]" dimensionUniqueName="[donwtime_factors]" displayFolder="" count="2" memberValueDatatype="130" unbalanced="0">
      <fieldsUsage count="2">
        <fieldUsage x="-1"/>
        <fieldUsage x="1"/>
      </fieldsUsage>
    </cacheHierarchy>
    <cacheHierarchy uniqueName="[line_downtime2].[Batch]" caption="Batch" attribute="1" defaultMemberUniqueName="[line_downtime2].[Batch].[All]" allUniqueName="[line_downtime2].[Batch].[All]" dimensionUniqueName="[line_downtime2]" displayFolder="" count="2" memberValueDatatype="20" unbalanced="0"/>
    <cacheHierarchy uniqueName="[line_downtime2].[Factor]" caption="Factor" attribute="1" defaultMemberUniqueName="[line_downtime2].[Factor].[All]" allUniqueName="[line_downtime2].[Factor].[All]" dimensionUniqueName="[line_downtime2]" displayFolder="" count="2" memberValueDatatype="20" unbalanced="0"/>
    <cacheHierarchy uniqueName="[line_downtime2].[Downtime(minute)]" caption="Downtime(minute)" attribute="1" defaultMemberUniqueName="[line_downtime2].[Downtime(minute)].[All]" allUniqueName="[line_downtime2].[Downtime(minute)].[All]" dimensionUniqueName="[line_downtime2]" displayFolder="" count="2"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2" memberValueDatatype="130" unbalanced="0"/>
    <cacheHierarchy uniqueName="[line_productivity].[Batch]" caption="Batch" attribute="1" defaultMemberUniqueName="[line_productivity].[Batch].[All]" allUniqueName="[line_productivity].[Batch].[All]" dimensionUniqueName="[line_productivity]" displayFolder="" count="2"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3"/>
      </fieldsUsage>
    </cacheHierarchy>
    <cacheHierarchy uniqueName="[line_productivity].[Start Time]" caption="Start Time" attribute="1" time="1" defaultMemberUniqueName="[line_productivity].[Start Time].[All]" allUniqueName="[line_productivity].[Start Time].[All]" dimensionUniqueName="[line_productivity]" displayFolder="" count="2" memberValueDatatype="7" unbalanced="0"/>
    <cacheHierarchy uniqueName="[line_productivity].[End Time]" caption="End Time" attribute="1" time="1" defaultMemberUniqueName="[line_productivity].[End Time].[All]" allUniqueName="[line_productivity].[End Time].[All]" dimensionUniqueName="[line_productivity]" displayFolder="" count="2" memberValueDatatype="7" unbalanced="0"/>
    <cacheHierarchy uniqueName="[line_productivity].[Date (Month)]" caption="Date (Month)" attribute="1" defaultMemberUniqueName="[line_productivity].[Date (Month)].[All]" allUniqueName="[line_productivity].[Date (Month)].[All]" dimensionUniqueName="[line_productivity]" displayFolder="" count="2" memberValueDatatype="130" unbalanced="0"/>
    <cacheHierarchy uniqueName="[line_productivity].[Start Time (Hour)]" caption="Start Time (Hour)" attribute="1" defaultMemberUniqueName="[line_productivity].[Start Time (Hour)].[All]" allUniqueName="[line_productivity].[Start Time (Hour)].[All]" dimensionUniqueName="[line_productivity]" displayFolder="" count="2" memberValueDatatype="130" unbalanced="0"/>
    <cacheHierarchy uniqueName="[line_productivity].[Start Time (Minute)]" caption="Start Time (Minute)" attribute="1" defaultMemberUniqueName="[line_productivity].[Start Time (Minute)].[All]" allUniqueName="[line_productivity].[Start Time (Minute)].[All]" dimensionUniqueName="[line_productivity]"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Flavor]" caption="Flavor" attribute="1" defaultMemberUniqueName="[products].[Flavor].[All]" allUniqueName="[products].[Flavor].[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Min batch time]" caption="Min batch time" attribute="1" defaultMemberUniqueName="[products].[Min batch time].[All]" allUniqueName="[products].[Min batch time].[All]" dimensionUniqueName="[products]" displayFolder="" count="2"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2" memberValueDatatype="20" unbalanced="0" hidden="1"/>
    <cacheHierarchy uniqueName="[Measures].[Total_min]" caption="Total_min" measure="1" displayFolder="" measureGroup="line_productivity" count="0"/>
    <cacheHierarchy uniqueName="[Measures].[Efficiency]" caption="Efficiency" measure="1" displayFolder="" measureGroup="line_productivity" count="0"/>
    <cacheHierarchy uniqueName="[Measures].[min product time]" caption="min product time" measure="1" displayFolder="" measureGroup="line_productivity" count="0"/>
    <cacheHierarchy uniqueName="[Measures].[Efficiency_product]" caption="Efficiency_product" measure="1" displayFolder="" measureGroup="line_productivity" count="0"/>
    <cacheHierarchy uniqueName="[Measures].[total_av_dt_operator]" caption="total_av_dt_operator" measure="1" displayFolder="" measureGroup="line_productivity" count="0"/>
    <cacheHierarchy uniqueName="[Measures].[__XL_Count line_productivity]" caption="__XL_Count line_productivity" measure="1" displayFolder="" measureGroup="line_productivity" count="0" hidden="1"/>
    <cacheHierarchy uniqueName="[Measures].[__XL_Count products]" caption="__XL_Count products" measure="1" displayFolder="" measureGroup="products" count="0" hidden="1"/>
    <cacheHierarchy uniqueName="[Measures].[__XL_Count line_downtime2]" caption="__XL_Count line_downtime2" measure="1" displayFolder="" measureGroup="line_downtime2" count="0" hidden="1"/>
    <cacheHierarchy uniqueName="[Measures].[__XL_Count donwtime_factors]" caption="__XL_Count donwtime_factors" measure="1" displayFolder="" measureGroup="donwtime_factors" count="0" hidden="1"/>
    <cacheHierarchy uniqueName="[Measures].[__No measures defined]" caption="__No measures defined" measure="1" displayFolder="" count="0" hidden="1"/>
    <cacheHierarchy uniqueName="[Measures].[Sum of Downtime(minute)]" caption="Sum of Downtime(minute)" measure="1" displayFolder="" measureGroup="line_downtime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Min batch time]" caption="Sum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Count of Flavor]" caption="Count of Flavor" measure="1" displayFolder="" measureGroup="products" count="0" hidden="1">
      <extLst>
        <ext xmlns:x15="http://schemas.microsoft.com/office/spreadsheetml/2010/11/main" uri="{B97F6D7D-B522-45F9-BDA1-12C45D357490}">
          <x15:cacheHierarchy aggregatedColumn="16"/>
        </ext>
      </extLst>
    </cacheHierarchy>
    <cacheHierarchy uniqueName="[Measures].[Count of Min batch time]" caption="Count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Min of Min batch time]" caption="Min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Sum of Batch]" caption="Sum of Batch" measure="1" displayFolder="" measureGroup="line_downtime2" count="0" hidden="1">
      <extLst>
        <ext xmlns:x15="http://schemas.microsoft.com/office/spreadsheetml/2010/11/main" uri="{B97F6D7D-B522-45F9-BDA1-12C45D357490}">
          <x15:cacheHierarchy aggregatedColumn="3"/>
        </ext>
      </extLst>
    </cacheHierarchy>
    <cacheHierarchy uniqueName="[Measures].[Sum of Factor]" caption="Sum of Factor" measure="1" displayFolder="" measureGroup="line_downtime2" count="0" hidden="1">
      <extLst>
        <ext xmlns:x15="http://schemas.microsoft.com/office/spreadsheetml/2010/11/main" uri="{B97F6D7D-B522-45F9-BDA1-12C45D357490}">
          <x15:cacheHierarchy aggregatedColumn="4"/>
        </ext>
      </extLst>
    </cacheHierarchy>
    <cacheHierarchy uniqueName="[Measures].[Count of Description]" caption="Count of Description" measure="1" displayFolder="" measureGroup="donwtime_factors" count="0" hidden="1">
      <extLst>
        <ext xmlns:x15="http://schemas.microsoft.com/office/spreadsheetml/2010/11/main" uri="{B97F6D7D-B522-45F9-BDA1-12C45D357490}">
          <x15:cacheHierarchy aggregatedColumn="1"/>
        </ext>
      </extLst>
    </cacheHierarchy>
    <cacheHierarchy uniqueName="[Measures].[Sum of Batch 2]" caption="Sum of Batch 2" measure="1" displayFolder="" measureGroup="line_productivity" count="0" hidden="1">
      <extLst>
        <ext xmlns:x15="http://schemas.microsoft.com/office/spreadsheetml/2010/11/main" uri="{B97F6D7D-B522-45F9-BDA1-12C45D357490}">
          <x15:cacheHierarchy aggregatedColumn="8"/>
        </ext>
      </extLst>
    </cacheHierarchy>
    <cacheHierarchy uniqueName="[Measures].[Count of Batch]" caption="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Average of Downtime(minute)]" caption="Average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Count of Size]" caption="Count of Size" measure="1" displayFolder="" measureGroup="products" count="0" hidden="1">
      <extLst>
        <ext xmlns:x15="http://schemas.microsoft.com/office/spreadsheetml/2010/11/main" uri="{B97F6D7D-B522-45F9-BDA1-12C45D357490}">
          <x15:cacheHierarchy aggregatedColumn="17"/>
        </ext>
      </extLst>
    </cacheHierarchy>
    <cacheHierarchy uniqueName="[Measures].[Sum of Factor 2]" caption="Sum of Factor 2"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caption="Count of Factor"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2]" caption="Count of Factor 2" measure="1" displayFolder="" measureGroup="line_downtime2" count="0" hidden="1">
      <extLst>
        <ext xmlns:x15="http://schemas.microsoft.com/office/spreadsheetml/2010/11/main" uri="{B97F6D7D-B522-45F9-BDA1-12C45D357490}">
          <x15:cacheHierarchy aggregatedColumn="4"/>
        </ext>
      </extLst>
    </cacheHierarchy>
  </cacheHierarchies>
  <kpis count="0"/>
  <dimensions count="5">
    <dimension name="donwtime_factors" uniqueName="[donwtime_factors]" caption="donwtime_factors"/>
    <dimension name="line_downtime2" uniqueName="[line_downtime2]" caption="line_downtime2"/>
    <dimension name="line_productivity" uniqueName="[line_productivity]" caption="line_productivity"/>
    <dimension measure="1" name="Measures" uniqueName="[Measures]" caption="Measures"/>
    <dimension name="products" uniqueName="[products]" caption="products"/>
  </dimensions>
  <measureGroups count="4">
    <measureGroup name="donwtime_factors" caption="donwtime_factors"/>
    <measureGroup name="line_downtime2" caption="line_downtime2"/>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8.617970949075" backgroundQuery="1" createdVersion="7" refreshedVersion="7" minRefreshableVersion="3" recordCount="0" supportSubquery="1" supportAdvancedDrill="1" xr:uid="{EBAD0B7A-3928-4B4F-BC0C-49C280F381B2}">
  <cacheSource type="external" connectionId="3"/>
  <cacheFields count="3">
    <cacheField name="[Measures].[Efficiency_product]" caption="Efficiency_product" numFmtId="0" hierarchy="23" level="32767"/>
    <cacheField name="[products].[Product].[Product]" caption="Product" numFmtId="0" hierarchy="15" level="1">
      <sharedItems count="6">
        <s v="CO-2L"/>
        <s v="CO-600"/>
        <s v="DC-600"/>
        <s v="LE-600"/>
        <s v="OR-600"/>
        <s v="RB-600"/>
      </sharedItems>
    </cacheField>
    <cacheField name="[products].[Flavor].[Flavor]" caption="Flavor" numFmtId="0" hierarchy="16" level="1">
      <sharedItems containsSemiMixedTypes="0" containsNonDate="0" containsString="0"/>
    </cacheField>
  </cacheFields>
  <cacheHierarchies count="45">
    <cacheHierarchy uniqueName="[donwtime_factors].[Factor]" caption="Factor" attribute="1" defaultMemberUniqueName="[donwtime_factors].[Factor].[All]" allUniqueName="[donwtime_factors].[Factor].[All]" dimensionUniqueName="[donwtime_factors]" displayFolder="" count="2" memberValueDatatype="20" unbalanced="0"/>
    <cacheHierarchy uniqueName="[donwtime_factors].[Description]" caption="Description" attribute="1" defaultMemberUniqueName="[donwtime_factors].[Description].[All]" allUniqueName="[donwtime_factors].[Description].[All]" dimensionUniqueName="[donwtime_factors]" displayFolder="" count="2" memberValueDatatype="130" unbalanced="0"/>
    <cacheHierarchy uniqueName="[donwtime_factors].[Operator Error]" caption="Operator Error" attribute="1" defaultMemberUniqueName="[donwtime_factors].[Operator Error].[All]" allUniqueName="[donwtime_factors].[Operator Error].[All]" dimensionUniqueName="[donwtime_factors]" displayFolder="" count="2" memberValueDatatype="130" unbalanced="0"/>
    <cacheHierarchy uniqueName="[line_downtime2].[Batch]" caption="Batch" attribute="1" defaultMemberUniqueName="[line_downtime2].[Batch].[All]" allUniqueName="[line_downtime2].[Batch].[All]" dimensionUniqueName="[line_downtime2]" displayFolder="" count="2" memberValueDatatype="20" unbalanced="0"/>
    <cacheHierarchy uniqueName="[line_downtime2].[Factor]" caption="Factor" attribute="1" defaultMemberUniqueName="[line_downtime2].[Factor].[All]" allUniqueName="[line_downtime2].[Factor].[All]" dimensionUniqueName="[line_downtime2]" displayFolder="" count="2" memberValueDatatype="20" unbalanced="0"/>
    <cacheHierarchy uniqueName="[line_downtime2].[Downtime(minute)]" caption="Downtime(minute)" attribute="1" defaultMemberUniqueName="[line_downtime2].[Downtime(minute)].[All]" allUniqueName="[line_downtime2].[Downtime(minute)].[All]" dimensionUniqueName="[line_downtime2]" displayFolder="" count="2"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2" memberValueDatatype="130" unbalanced="0"/>
    <cacheHierarchy uniqueName="[line_productivity].[Batch]" caption="Batch" attribute="1" defaultMemberUniqueName="[line_productivity].[Batch].[All]" allUniqueName="[line_productivity].[Batch].[All]" dimensionUniqueName="[line_productivity]" displayFolder="" count="2"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cacheHierarchy uniqueName="[line_productivity].[Start Time]" caption="Start Time" attribute="1" time="1" defaultMemberUniqueName="[line_productivity].[Start Time].[All]" allUniqueName="[line_productivity].[Start Time].[All]" dimensionUniqueName="[line_productivity]" displayFolder="" count="2" memberValueDatatype="7" unbalanced="0"/>
    <cacheHierarchy uniqueName="[line_productivity].[End Time]" caption="End Time" attribute="1" time="1" defaultMemberUniqueName="[line_productivity].[End Time].[All]" allUniqueName="[line_productivity].[End Time].[All]" dimensionUniqueName="[line_productivity]" displayFolder="" count="2" memberValueDatatype="7" unbalanced="0"/>
    <cacheHierarchy uniqueName="[line_productivity].[Date (Month)]" caption="Date (Month)" attribute="1" defaultMemberUniqueName="[line_productivity].[Date (Month)].[All]" allUniqueName="[line_productivity].[Date (Month)].[All]" dimensionUniqueName="[line_productivity]" displayFolder="" count="2" memberValueDatatype="130" unbalanced="0"/>
    <cacheHierarchy uniqueName="[line_productivity].[Start Time (Hour)]" caption="Start Time (Hour)" attribute="1" defaultMemberUniqueName="[line_productivity].[Start Time (Hour)].[All]" allUniqueName="[line_productivity].[Start Time (Hour)].[All]" dimensionUniqueName="[line_productivity]" displayFolder="" count="2" memberValueDatatype="130" unbalanced="0"/>
    <cacheHierarchy uniqueName="[line_productivity].[Start Time (Minute)]" caption="Start Time (Minute)" attribute="1" defaultMemberUniqueName="[line_productivity].[Start Time (Minute)].[All]" allUniqueName="[line_productivity].[Start Time (Minute)].[All]" dimensionUniqueName="[line_productivity]"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Flavor]" caption="Flavor" attribute="1" defaultMemberUniqueName="[products].[Flavor].[All]" allUniqueName="[products].[Flavor].[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2" memberValueDatatype="130" unbalanced="0"/>
    <cacheHierarchy uniqueName="[products].[Min batch time]" caption="Min batch time" attribute="1" defaultMemberUniqueName="[products].[Min batch time].[All]" allUniqueName="[products].[Min batch time].[All]" dimensionUniqueName="[products]" displayFolder="" count="2"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2" memberValueDatatype="20" unbalanced="0" hidden="1"/>
    <cacheHierarchy uniqueName="[Measures].[Total_min]" caption="Total_min" measure="1" displayFolder="" measureGroup="line_productivity" count="0"/>
    <cacheHierarchy uniqueName="[Measures].[Efficiency]" caption="Efficiency" measure="1" displayFolder="" measureGroup="line_productivity" count="0"/>
    <cacheHierarchy uniqueName="[Measures].[min product time]" caption="min product time" measure="1" displayFolder="" measureGroup="line_productivity" count="0"/>
    <cacheHierarchy uniqueName="[Measures].[Efficiency_product]" caption="Efficiency_product" measure="1" displayFolder="" measureGroup="line_productivity" count="0" oneField="1">
      <fieldsUsage count="1">
        <fieldUsage x="0"/>
      </fieldsUsage>
    </cacheHierarchy>
    <cacheHierarchy uniqueName="[Measures].[total_av_dt_operator]" caption="total_av_dt_operator" measure="1" displayFolder="" measureGroup="line_productivity" count="0"/>
    <cacheHierarchy uniqueName="[Measures].[__XL_Count line_productivity]" caption="__XL_Count line_productivity" measure="1" displayFolder="" measureGroup="line_productivity" count="0" hidden="1"/>
    <cacheHierarchy uniqueName="[Measures].[__XL_Count products]" caption="__XL_Count products" measure="1" displayFolder="" measureGroup="products" count="0" hidden="1"/>
    <cacheHierarchy uniqueName="[Measures].[__XL_Count line_downtime2]" caption="__XL_Count line_downtime2" measure="1" displayFolder="" measureGroup="line_downtime2" count="0" hidden="1"/>
    <cacheHierarchy uniqueName="[Measures].[__XL_Count donwtime_factors]" caption="__XL_Count donwtime_factors" measure="1" displayFolder="" measureGroup="donwtime_factors" count="0" hidden="1"/>
    <cacheHierarchy uniqueName="[Measures].[__No measures defined]" caption="__No measures defined" measure="1" displayFolder="" count="0" hidden="1"/>
    <cacheHierarchy uniqueName="[Measures].[Sum of Downtime(minute)]" caption="Sum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Sum of Min batch time]" caption="Sum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Count of Flavor]" caption="Count of Flavor" measure="1" displayFolder="" measureGroup="products" count="0" hidden="1">
      <extLst>
        <ext xmlns:x15="http://schemas.microsoft.com/office/spreadsheetml/2010/11/main" uri="{B97F6D7D-B522-45F9-BDA1-12C45D357490}">
          <x15:cacheHierarchy aggregatedColumn="16"/>
        </ext>
      </extLst>
    </cacheHierarchy>
    <cacheHierarchy uniqueName="[Measures].[Count of Min batch time]" caption="Count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Min of Min batch time]" caption="Min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Sum of Batch]" caption="Sum of Batch" measure="1" displayFolder="" measureGroup="line_downtime2" count="0" hidden="1">
      <extLst>
        <ext xmlns:x15="http://schemas.microsoft.com/office/spreadsheetml/2010/11/main" uri="{B97F6D7D-B522-45F9-BDA1-12C45D357490}">
          <x15:cacheHierarchy aggregatedColumn="3"/>
        </ext>
      </extLst>
    </cacheHierarchy>
    <cacheHierarchy uniqueName="[Measures].[Sum of Factor]" caption="Sum of Factor" measure="1" displayFolder="" measureGroup="line_downtime2" count="0" hidden="1">
      <extLst>
        <ext xmlns:x15="http://schemas.microsoft.com/office/spreadsheetml/2010/11/main" uri="{B97F6D7D-B522-45F9-BDA1-12C45D357490}">
          <x15:cacheHierarchy aggregatedColumn="4"/>
        </ext>
      </extLst>
    </cacheHierarchy>
    <cacheHierarchy uniqueName="[Measures].[Count of Description]" caption="Count of Description" measure="1" displayFolder="" measureGroup="donwtime_factors" count="0" hidden="1">
      <extLst>
        <ext xmlns:x15="http://schemas.microsoft.com/office/spreadsheetml/2010/11/main" uri="{B97F6D7D-B522-45F9-BDA1-12C45D357490}">
          <x15:cacheHierarchy aggregatedColumn="1"/>
        </ext>
      </extLst>
    </cacheHierarchy>
    <cacheHierarchy uniqueName="[Measures].[Sum of Batch 2]" caption="Sum of Batch 2" measure="1" displayFolder="" measureGroup="line_productivity" count="0" hidden="1">
      <extLst>
        <ext xmlns:x15="http://schemas.microsoft.com/office/spreadsheetml/2010/11/main" uri="{B97F6D7D-B522-45F9-BDA1-12C45D357490}">
          <x15:cacheHierarchy aggregatedColumn="8"/>
        </ext>
      </extLst>
    </cacheHierarchy>
    <cacheHierarchy uniqueName="[Measures].[Count of Batch]" caption="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Average of Downtime(minute)]" caption="Average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Count of Size]" caption="Count of Size" measure="1" displayFolder="" measureGroup="products" count="0" hidden="1">
      <extLst>
        <ext xmlns:x15="http://schemas.microsoft.com/office/spreadsheetml/2010/11/main" uri="{B97F6D7D-B522-45F9-BDA1-12C45D357490}">
          <x15:cacheHierarchy aggregatedColumn="17"/>
        </ext>
      </extLst>
    </cacheHierarchy>
    <cacheHierarchy uniqueName="[Measures].[Sum of Factor 2]" caption="Sum of Factor 2"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caption="Count of Factor"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2]" caption="Count of Factor 2" measure="1" displayFolder="" measureGroup="line_downtime2" count="0" hidden="1">
      <extLst>
        <ext xmlns:x15="http://schemas.microsoft.com/office/spreadsheetml/2010/11/main" uri="{B97F6D7D-B522-45F9-BDA1-12C45D357490}">
          <x15:cacheHierarchy aggregatedColumn="4"/>
        </ext>
      </extLst>
    </cacheHierarchy>
  </cacheHierarchies>
  <kpis count="0"/>
  <dimensions count="5">
    <dimension name="donwtime_factors" uniqueName="[donwtime_factors]" caption="donwtime_factors"/>
    <dimension name="line_downtime2" uniqueName="[line_downtime2]" caption="line_downtime2"/>
    <dimension name="line_productivity" uniqueName="[line_productivity]" caption="line_productivity"/>
    <dimension measure="1" name="Measures" uniqueName="[Measures]" caption="Measures"/>
    <dimension name="products" uniqueName="[products]" caption="products"/>
  </dimensions>
  <measureGroups count="4">
    <measureGroup name="donwtime_factors" caption="donwtime_factors"/>
    <measureGroup name="line_downtime2" caption="line_downtime2"/>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8.617971412037" backgroundQuery="1" createdVersion="7" refreshedVersion="7" minRefreshableVersion="3" recordCount="0" supportSubquery="1" supportAdvancedDrill="1" xr:uid="{DAB4F193-4E66-4FF2-A354-691913A17DBD}">
  <cacheSource type="external" connectionId="3"/>
  <cacheFields count="5">
    <cacheField name="[donwtime_factors].[Description].[Description]" caption="Description" numFmtId="0" hierarchy="1" level="1">
      <sharedItems count="11">
        <s v="Batch change"/>
        <s v="Batch coding error"/>
        <s v="Calibration error"/>
        <s v="Conveyor belt jam"/>
        <s v="Inventory shortage"/>
        <s v="Label switch"/>
        <s v="Labeling error"/>
        <s v="Machine adjustment"/>
        <s v="Machine failure"/>
        <s v="Other"/>
        <s v="Product spill"/>
      </sharedItems>
    </cacheField>
    <cacheField name="[Measures].[Sum of Downtime(minute)]" caption="Sum of Downtime(minute)" numFmtId="0" hierarchy="30" level="32767"/>
    <cacheField name="[line_productivity].[Operator].[Operator]" caption="Operator" numFmtId="0" hierarchy="9" level="1">
      <sharedItems containsSemiMixedTypes="0" containsNonDate="0" containsString="0"/>
    </cacheField>
    <cacheField name="[products].[Flavor].[Flavor]" caption="Flavor" numFmtId="0" hierarchy="16" level="1">
      <sharedItems containsSemiMixedTypes="0" containsNonDate="0" containsString="0"/>
    </cacheField>
    <cacheField name="Dummy0" numFmtId="0" hierarchy="45" level="32767">
      <extLst>
        <ext xmlns:x14="http://schemas.microsoft.com/office/spreadsheetml/2009/9/main" uri="{63CAB8AC-B538-458d-9737-405883B0398D}">
          <x14:cacheField ignore="1"/>
        </ext>
      </extLst>
    </cacheField>
  </cacheFields>
  <cacheHierarchies count="46">
    <cacheHierarchy uniqueName="[donwtime_factors].[Factor]" caption="Factor" attribute="1" defaultMemberUniqueName="[donwtime_factors].[Factor].[All]" allUniqueName="[donwtime_factors].[Factor].[All]" dimensionUniqueName="[donwtime_factors]" displayFolder="" count="2" memberValueDatatype="20" unbalanced="0"/>
    <cacheHierarchy uniqueName="[donwtime_factors].[Description]" caption="Description" attribute="1" defaultMemberUniqueName="[donwtime_factors].[Description].[All]" allUniqueName="[donwtime_factors].[Description].[All]" dimensionUniqueName="[donwtime_factors]" displayFolder="" count="2" memberValueDatatype="130" unbalanced="0">
      <fieldsUsage count="2">
        <fieldUsage x="-1"/>
        <fieldUsage x="0"/>
      </fieldsUsage>
    </cacheHierarchy>
    <cacheHierarchy uniqueName="[donwtime_factors].[Operator Error]" caption="Operator Error" attribute="1" defaultMemberUniqueName="[donwtime_factors].[Operator Error].[All]" allUniqueName="[donwtime_factors].[Operator Error].[All]" dimensionUniqueName="[donwtime_factors]" displayFolder="" count="2" memberValueDatatype="130" unbalanced="0"/>
    <cacheHierarchy uniqueName="[line_downtime2].[Batch]" caption="Batch" attribute="1" defaultMemberUniqueName="[line_downtime2].[Batch].[All]" allUniqueName="[line_downtime2].[Batch].[All]" dimensionUniqueName="[line_downtime2]" displayFolder="" count="2" memberValueDatatype="20" unbalanced="0"/>
    <cacheHierarchy uniqueName="[line_downtime2].[Factor]" caption="Factor" attribute="1" defaultMemberUniqueName="[line_downtime2].[Factor].[All]" allUniqueName="[line_downtime2].[Factor].[All]" dimensionUniqueName="[line_downtime2]" displayFolder="" count="2" memberValueDatatype="20" unbalanced="0"/>
    <cacheHierarchy uniqueName="[line_downtime2].[Downtime(minute)]" caption="Downtime(minute)" attribute="1" defaultMemberUniqueName="[line_downtime2].[Downtime(minute)].[All]" allUniqueName="[line_downtime2].[Downtime(minute)].[All]" dimensionUniqueName="[line_downtime2]" displayFolder="" count="2"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2" memberValueDatatype="130" unbalanced="0"/>
    <cacheHierarchy uniqueName="[line_productivity].[Batch]" caption="Batch" attribute="1" defaultMemberUniqueName="[line_productivity].[Batch].[All]" allUniqueName="[line_productivity].[Batch].[All]" dimensionUniqueName="[line_productivity]" displayFolder="" count="2"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2"/>
      </fieldsUsage>
    </cacheHierarchy>
    <cacheHierarchy uniqueName="[line_productivity].[Start Time]" caption="Start Time" attribute="1" time="1" defaultMemberUniqueName="[line_productivity].[Start Time].[All]" allUniqueName="[line_productivity].[Start Time].[All]" dimensionUniqueName="[line_productivity]" displayFolder="" count="2" memberValueDatatype="7" unbalanced="0"/>
    <cacheHierarchy uniqueName="[line_productivity].[End Time]" caption="End Time" attribute="1" time="1" defaultMemberUniqueName="[line_productivity].[End Time].[All]" allUniqueName="[line_productivity].[End Time].[All]" dimensionUniqueName="[line_productivity]" displayFolder="" count="2" memberValueDatatype="7" unbalanced="0"/>
    <cacheHierarchy uniqueName="[line_productivity].[Date (Month)]" caption="Date (Month)" attribute="1" defaultMemberUniqueName="[line_productivity].[Date (Month)].[All]" allUniqueName="[line_productivity].[Date (Month)].[All]" dimensionUniqueName="[line_productivity]" displayFolder="" count="2" memberValueDatatype="130" unbalanced="0"/>
    <cacheHierarchy uniqueName="[line_productivity].[Start Time (Hour)]" caption="Start Time (Hour)" attribute="1" defaultMemberUniqueName="[line_productivity].[Start Time (Hour)].[All]" allUniqueName="[line_productivity].[Start Time (Hour)].[All]" dimensionUniqueName="[line_productivity]" displayFolder="" count="2" memberValueDatatype="130" unbalanced="0"/>
    <cacheHierarchy uniqueName="[line_productivity].[Start Time (Minute)]" caption="Start Time (Minute)" attribute="1" defaultMemberUniqueName="[line_productivity].[Start Time (Minute)].[All]" allUniqueName="[line_productivity].[Start Time (Minute)].[All]" dimensionUniqueName="[line_productivity]"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Flavor]" caption="Flavor" attribute="1" defaultMemberUniqueName="[products].[Flavor].[All]" allUniqueName="[products].[Flavor].[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2" memberValueDatatype="130" unbalanced="0"/>
    <cacheHierarchy uniqueName="[products].[Min batch time]" caption="Min batch time" attribute="1" defaultMemberUniqueName="[products].[Min batch time].[All]" allUniqueName="[products].[Min batch time].[All]" dimensionUniqueName="[products]" displayFolder="" count="2"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2" memberValueDatatype="20" unbalanced="0" hidden="1"/>
    <cacheHierarchy uniqueName="[Measures].[Total_min]" caption="Total_min" measure="1" displayFolder="" measureGroup="line_productivity" count="0"/>
    <cacheHierarchy uniqueName="[Measures].[Efficiency]" caption="Efficiency" measure="1" displayFolder="" measureGroup="line_productivity" count="0"/>
    <cacheHierarchy uniqueName="[Measures].[min product time]" caption="min product time" measure="1" displayFolder="" measureGroup="line_productivity" count="0"/>
    <cacheHierarchy uniqueName="[Measures].[Efficiency_product]" caption="Efficiency_product" measure="1" displayFolder="" measureGroup="line_productivity" count="0"/>
    <cacheHierarchy uniqueName="[Measures].[total_av_dt_operator]" caption="total_av_dt_operator" measure="1" displayFolder="" measureGroup="line_productivity" count="0"/>
    <cacheHierarchy uniqueName="[Measures].[__XL_Count line_productivity]" caption="__XL_Count line_productivity" measure="1" displayFolder="" measureGroup="line_productivity" count="0" hidden="1"/>
    <cacheHierarchy uniqueName="[Measures].[__XL_Count products]" caption="__XL_Count products" measure="1" displayFolder="" measureGroup="products" count="0" hidden="1"/>
    <cacheHierarchy uniqueName="[Measures].[__XL_Count line_downtime2]" caption="__XL_Count line_downtime2" measure="1" displayFolder="" measureGroup="line_downtime2" count="0" hidden="1"/>
    <cacheHierarchy uniqueName="[Measures].[__XL_Count donwtime_factors]" caption="__XL_Count donwtime_factors" measure="1" displayFolder="" measureGroup="donwtime_factors" count="0" hidden="1"/>
    <cacheHierarchy uniqueName="[Measures].[__No measures defined]" caption="__No measures defined" measure="1" displayFolder="" count="0" hidden="1"/>
    <cacheHierarchy uniqueName="[Measures].[Sum of Downtime(minute)]" caption="Sum of Downtime(minute)" measure="1" displayFolder="" measureGroup="line_downtime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Min batch time]" caption="Sum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Count of Flavor]" caption="Count of Flavor" measure="1" displayFolder="" measureGroup="products" count="0" hidden="1">
      <extLst>
        <ext xmlns:x15="http://schemas.microsoft.com/office/spreadsheetml/2010/11/main" uri="{B97F6D7D-B522-45F9-BDA1-12C45D357490}">
          <x15:cacheHierarchy aggregatedColumn="16"/>
        </ext>
      </extLst>
    </cacheHierarchy>
    <cacheHierarchy uniqueName="[Measures].[Count of Min batch time]" caption="Count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Min of Min batch time]" caption="Min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Sum of Batch]" caption="Sum of Batch" measure="1" displayFolder="" measureGroup="line_downtime2" count="0" hidden="1">
      <extLst>
        <ext xmlns:x15="http://schemas.microsoft.com/office/spreadsheetml/2010/11/main" uri="{B97F6D7D-B522-45F9-BDA1-12C45D357490}">
          <x15:cacheHierarchy aggregatedColumn="3"/>
        </ext>
      </extLst>
    </cacheHierarchy>
    <cacheHierarchy uniqueName="[Measures].[Sum of Factor]" caption="Sum of Factor" measure="1" displayFolder="" measureGroup="line_downtime2" count="0" hidden="1">
      <extLst>
        <ext xmlns:x15="http://schemas.microsoft.com/office/spreadsheetml/2010/11/main" uri="{B97F6D7D-B522-45F9-BDA1-12C45D357490}">
          <x15:cacheHierarchy aggregatedColumn="4"/>
        </ext>
      </extLst>
    </cacheHierarchy>
    <cacheHierarchy uniqueName="[Measures].[Count of Description]" caption="Count of Description" measure="1" displayFolder="" measureGroup="donwtime_factors" count="0" hidden="1">
      <extLst>
        <ext xmlns:x15="http://schemas.microsoft.com/office/spreadsheetml/2010/11/main" uri="{B97F6D7D-B522-45F9-BDA1-12C45D357490}">
          <x15:cacheHierarchy aggregatedColumn="1"/>
        </ext>
      </extLst>
    </cacheHierarchy>
    <cacheHierarchy uniqueName="[Measures].[Sum of Batch 2]" caption="Sum of Batch 2" measure="1" displayFolder="" measureGroup="line_productivity" count="0" hidden="1">
      <extLst>
        <ext xmlns:x15="http://schemas.microsoft.com/office/spreadsheetml/2010/11/main" uri="{B97F6D7D-B522-45F9-BDA1-12C45D357490}">
          <x15:cacheHierarchy aggregatedColumn="8"/>
        </ext>
      </extLst>
    </cacheHierarchy>
    <cacheHierarchy uniqueName="[Measures].[Count of Batch]" caption="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Average of Downtime(minute)]" caption="Average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Count of Size]" caption="Count of Size" measure="1" displayFolder="" measureGroup="products" count="0" hidden="1">
      <extLst>
        <ext xmlns:x15="http://schemas.microsoft.com/office/spreadsheetml/2010/11/main" uri="{B97F6D7D-B522-45F9-BDA1-12C45D357490}">
          <x15:cacheHierarchy aggregatedColumn="17"/>
        </ext>
      </extLst>
    </cacheHierarchy>
    <cacheHierarchy uniqueName="[Measures].[Sum of Factor 2]" caption="Sum of Factor 2"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caption="Count of Factor"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2]" caption="Count of Factor 2" measure="1" displayFolder="" measureGroup="line_downtime2" count="0" hidden="1">
      <extLst>
        <ext xmlns:x15="http://schemas.microsoft.com/office/spreadsheetml/2010/11/main" uri="{B97F6D7D-B522-45F9-BDA1-12C45D357490}">
          <x15:cacheHierarchy aggregatedColumn="4"/>
        </ext>
      </extLst>
    </cacheHierarchy>
    <cacheHierarchy uniqueName="Dummy0" caption="Factor" measure="1" count="0">
      <extLst>
        <ext xmlns:x14="http://schemas.microsoft.com/office/spreadsheetml/2009/9/main" uri="{8CF416AD-EC4C-4aba-99F5-12A058AE0983}">
          <x14:cacheHierarchy ignore="1"/>
        </ext>
      </extLst>
    </cacheHierarchy>
  </cacheHierarchies>
  <kpis count="0"/>
  <dimensions count="5">
    <dimension name="donwtime_factors" uniqueName="[donwtime_factors]" caption="donwtime_factors"/>
    <dimension name="line_downtime2" uniqueName="[line_downtime2]" caption="line_downtime2"/>
    <dimension name="line_productivity" uniqueName="[line_productivity]" caption="line_productivity"/>
    <dimension measure="1" name="Measures" uniqueName="[Measures]" caption="Measures"/>
    <dimension name="products" uniqueName="[products]" caption="products"/>
  </dimensions>
  <measureGroups count="4">
    <measureGroup name="donwtime_factors" caption="donwtime_factors"/>
    <measureGroup name="line_downtime2" caption="line_downtime2"/>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8.520442129629" backgroundQuery="1" createdVersion="3" refreshedVersion="7" minRefreshableVersion="3" recordCount="0" supportSubquery="1" supportAdvancedDrill="1" xr:uid="{B51C4030-7A0D-48EE-BDB5-BA30403FDEF4}">
  <cacheSource type="external" connectionId="3">
    <extLst>
      <ext xmlns:x14="http://schemas.microsoft.com/office/spreadsheetml/2009/9/main" uri="{F057638F-6D5F-4e77-A914-E7F072B9BCA8}">
        <x14:sourceConnection name="ThisWorkbookDataModel"/>
      </ext>
    </extLst>
  </cacheSource>
  <cacheFields count="0"/>
  <cacheHierarchies count="45">
    <cacheHierarchy uniqueName="[donwtime_factors].[Factor]" caption="Factor" attribute="1" defaultMemberUniqueName="[donwtime_factors].[Factor].[All]" allUniqueName="[donwtime_factors].[Factor].[All]" dimensionUniqueName="[donwtime_factors]" displayFolder="" count="0" memberValueDatatype="20" unbalanced="0"/>
    <cacheHierarchy uniqueName="[donwtime_factors].[Description]" caption="Description" attribute="1" defaultMemberUniqueName="[donwtime_factors].[Description].[All]" allUniqueName="[donwtime_factors].[Description].[All]" dimensionUniqueName="[donwtime_factors]" displayFolder="" count="2" memberValueDatatype="130" unbalanced="0"/>
    <cacheHierarchy uniqueName="[donwtime_factors].[Operator Error]" caption="Operator Error" attribute="1" defaultMemberUniqueName="[donwtime_factors].[Operator Error].[All]" allUniqueName="[donwtime_factors].[Operator Error].[All]" dimensionUniqueName="[donwtime_factors]" displayFolder="" count="0" memberValueDatatype="130" unbalanced="0"/>
    <cacheHierarchy uniqueName="[line_downtime2].[Batch]" caption="Batch" attribute="1" defaultMemberUniqueName="[line_downtime2].[Batch].[All]" allUniqueName="[line_downtime2].[Batch].[All]" dimensionUniqueName="[line_downtime2]" displayFolder="" count="0" memberValueDatatype="20" unbalanced="0"/>
    <cacheHierarchy uniqueName="[line_downtime2].[Factor]" caption="Factor" attribute="1" defaultMemberUniqueName="[line_downtime2].[Factor].[All]" allUniqueName="[line_downtime2].[Factor].[All]" dimensionUniqueName="[line_downtime2]" displayFolder="" count="0" memberValueDatatype="20" unbalanced="0"/>
    <cacheHierarchy uniqueName="[line_downtime2].[Downtime(minute)]" caption="Downtime(minute)" attribute="1" defaultMemberUniqueName="[line_downtime2].[Downtime(minute)].[All]" allUniqueName="[line_downtime2].[Downtime(minute)].[All]" dimensionUniqueName="[line_downtime2]" displayFolder="" count="0" memberValueDatatype="20" unbalanced="0"/>
    <cacheHierarchy uniqueName="[line_productivity].[Date]" caption="Date" attribute="1" time="1" defaultMemberUniqueName="[line_productivity].[Date].[All]" allUniqueName="[line_productivity].[Date].[All]" dimensionUniqueName="[line_productivity]" displayFolder="" count="0"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line_productivity].[Start Time (Hour)]" caption="Start Time (Hour)" attribute="1" defaultMemberUniqueName="[line_productivity].[Start Time (Hour)].[All]" allUniqueName="[line_productivity].[Start Time (Hour)].[All]" dimensionUniqueName="[line_productivity]" displayFolder="" count="0" memberValueDatatype="130" unbalanced="0"/>
    <cacheHierarchy uniqueName="[line_productivity].[Start Time (Minute)]" caption="Start Time (Minute)" attribute="1" defaultMemberUniqueName="[line_productivity].[Start Time (Minute)].[All]" allUniqueName="[line_productivity].[Start Time (Minute)].[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Total_min]" caption="Total_min" measure="1" displayFolder="" measureGroup="line_productivity" count="0"/>
    <cacheHierarchy uniqueName="[Measures].[Efficiency]" caption="Efficiency" measure="1" displayFolder="" measureGroup="line_productivity" count="0"/>
    <cacheHierarchy uniqueName="[Measures].[min product time]" caption="min product time" measure="1" displayFolder="" measureGroup="line_productivity" count="0"/>
    <cacheHierarchy uniqueName="[Measures].[Efficiency_product]" caption="Efficiency_product" measure="1" displayFolder="" measureGroup="line_productivity" count="0"/>
    <cacheHierarchy uniqueName="[Measures].[total_av_dt_operator]" caption="total_av_dt_operator" measure="1" displayFolder="" measureGroup="line_productivity" count="0"/>
    <cacheHierarchy uniqueName="[Measures].[__XL_Count line_productivity]" caption="__XL_Count line_productivity" measure="1" displayFolder="" measureGroup="line_productivity" count="0" hidden="1"/>
    <cacheHierarchy uniqueName="[Measures].[__XL_Count products]" caption="__XL_Count products" measure="1" displayFolder="" measureGroup="products" count="0" hidden="1"/>
    <cacheHierarchy uniqueName="[Measures].[__XL_Count line_downtime2]" caption="__XL_Count line_downtime2" measure="1" displayFolder="" measureGroup="line_downtime2" count="0" hidden="1"/>
    <cacheHierarchy uniqueName="[Measures].[__XL_Count donwtime_factors]" caption="__XL_Count donwtime_factors" measure="1" displayFolder="" measureGroup="donwtime_factors" count="0" hidden="1"/>
    <cacheHierarchy uniqueName="[Measures].[__No measures defined]" caption="__No measures defined" measure="1" displayFolder="" count="0" hidden="1"/>
    <cacheHierarchy uniqueName="[Measures].[Sum of Downtime(minute)]" caption="Sum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Sum of Min batch time]" caption="Sum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Count of Flavor]" caption="Count of Flavor" measure="1" displayFolder="" measureGroup="products" count="0" hidden="1">
      <extLst>
        <ext xmlns:x15="http://schemas.microsoft.com/office/spreadsheetml/2010/11/main" uri="{B97F6D7D-B522-45F9-BDA1-12C45D357490}">
          <x15:cacheHierarchy aggregatedColumn="16"/>
        </ext>
      </extLst>
    </cacheHierarchy>
    <cacheHierarchy uniqueName="[Measures].[Count of Min batch time]" caption="Count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Min of Min batch time]" caption="Min of Min batch time" measure="1" displayFolder="" measureGroup="products" count="0" hidden="1">
      <extLst>
        <ext xmlns:x15="http://schemas.microsoft.com/office/spreadsheetml/2010/11/main" uri="{B97F6D7D-B522-45F9-BDA1-12C45D357490}">
          <x15:cacheHierarchy aggregatedColumn="18"/>
        </ext>
      </extLst>
    </cacheHierarchy>
    <cacheHierarchy uniqueName="[Measures].[Sum of Batch]" caption="Sum of Batch" measure="1" displayFolder="" measureGroup="line_downtime2" count="0" hidden="1">
      <extLst>
        <ext xmlns:x15="http://schemas.microsoft.com/office/spreadsheetml/2010/11/main" uri="{B97F6D7D-B522-45F9-BDA1-12C45D357490}">
          <x15:cacheHierarchy aggregatedColumn="3"/>
        </ext>
      </extLst>
    </cacheHierarchy>
    <cacheHierarchy uniqueName="[Measures].[Sum of Factor]" caption="Sum of Factor" measure="1" displayFolder="" measureGroup="line_downtime2" count="0" hidden="1">
      <extLst>
        <ext xmlns:x15="http://schemas.microsoft.com/office/spreadsheetml/2010/11/main" uri="{B97F6D7D-B522-45F9-BDA1-12C45D357490}">
          <x15:cacheHierarchy aggregatedColumn="4"/>
        </ext>
      </extLst>
    </cacheHierarchy>
    <cacheHierarchy uniqueName="[Measures].[Count of Description]" caption="Count of Description" measure="1" displayFolder="" measureGroup="donwtime_factors" count="0" hidden="1">
      <extLst>
        <ext xmlns:x15="http://schemas.microsoft.com/office/spreadsheetml/2010/11/main" uri="{B97F6D7D-B522-45F9-BDA1-12C45D357490}">
          <x15:cacheHierarchy aggregatedColumn="1"/>
        </ext>
      </extLst>
    </cacheHierarchy>
    <cacheHierarchy uniqueName="[Measures].[Sum of Batch 2]" caption="Sum of Batch 2" measure="1" displayFolder="" measureGroup="line_productivity" count="0" hidden="1">
      <extLst>
        <ext xmlns:x15="http://schemas.microsoft.com/office/spreadsheetml/2010/11/main" uri="{B97F6D7D-B522-45F9-BDA1-12C45D357490}">
          <x15:cacheHierarchy aggregatedColumn="8"/>
        </ext>
      </extLst>
    </cacheHierarchy>
    <cacheHierarchy uniqueName="[Measures].[Count of Batch]" caption="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Average of Downtime(minute)]" caption="Average of Downtime(minute)" measure="1" displayFolder="" measureGroup="line_downtime2" count="0" hidden="1">
      <extLst>
        <ext xmlns:x15="http://schemas.microsoft.com/office/spreadsheetml/2010/11/main" uri="{B97F6D7D-B522-45F9-BDA1-12C45D357490}">
          <x15:cacheHierarchy aggregatedColumn="5"/>
        </ext>
      </extLst>
    </cacheHierarchy>
    <cacheHierarchy uniqueName="[Measures].[Count of Size]" caption="Count of Size" measure="1" displayFolder="" measureGroup="products" count="0" hidden="1">
      <extLst>
        <ext xmlns:x15="http://schemas.microsoft.com/office/spreadsheetml/2010/11/main" uri="{B97F6D7D-B522-45F9-BDA1-12C45D357490}">
          <x15:cacheHierarchy aggregatedColumn="17"/>
        </ext>
      </extLst>
    </cacheHierarchy>
    <cacheHierarchy uniqueName="[Measures].[Sum of Factor 2]" caption="Sum of Factor 2"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caption="Count of Factor" measure="1" displayFolder="" measureGroup="donwtime_factors" count="0" hidden="1">
      <extLst>
        <ext xmlns:x15="http://schemas.microsoft.com/office/spreadsheetml/2010/11/main" uri="{B97F6D7D-B522-45F9-BDA1-12C45D357490}">
          <x15:cacheHierarchy aggregatedColumn="0"/>
        </ext>
      </extLst>
    </cacheHierarchy>
    <cacheHierarchy uniqueName="[Measures].[Count of Factor 2]" caption="Count of Factor 2" measure="1" displayFolder="" measureGroup="line_downtime2"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6344945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7CD355-6C1E-4BD0-9815-E0A1B552CA03}" name="PivotTable7" cacheId="0" applyNumberFormats="0" applyBorderFormats="0" applyFontFormats="0" applyPatternFormats="0" applyAlignmentFormats="0" applyWidthHeightFormats="1" dataCaption="Values" tag="be04dcd1-d4f8-43a8-bbb8-586821700ac2" updatedVersion="7" minRefreshableVersion="3" useAutoFormatting="1" itemPrintTitles="1" createdVersion="7" indent="0" outline="1" outlineData="1" multipleFieldFilters="0">
  <location ref="A86:B91"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Items count="1">
    <i/>
  </colItems>
  <pageFields count="1">
    <pageField fld="2" hier="2" name="[donwtime_factors].[Operator Error].&amp;[Yes]" cap="Yes"/>
  </pageFields>
  <dataFields count="1">
    <dataField name="Sum of Downtime(minute)"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Min batch time"/>
    <pivotHierarchy dragToData="1" caption="Min of Min batch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wtime_factors]"/>
        <x15:activeTabTopLevelEntity name="[line_downtime2]"/>
        <x15:activeTabTopLevelEntity name="[line_productivit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D556F3-AB50-4369-B6C0-3CA49EC98FB6}" name="PivotTable3" cacheId="1" applyNumberFormats="0" applyBorderFormats="0" applyFontFormats="0" applyPatternFormats="0" applyAlignmentFormats="0" applyWidthHeightFormats="1" dataCaption="Values" tag="cbc21da8-cc6c-4cfd-b86a-74422b2f37a4" updatedVersion="7" minRefreshableVersion="3" useAutoFormatting="1" itemPrintTitles="1" createdVersion="7" indent="0" outline="1" outlineData="1" multipleFieldFilters="0">
  <location ref="A19:B26"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s>
  <rowFields count="1">
    <field x="1"/>
  </rowFields>
  <rowItems count="7">
    <i>
      <x/>
    </i>
    <i>
      <x v="1"/>
    </i>
    <i>
      <x v="2"/>
    </i>
    <i>
      <x v="3"/>
    </i>
    <i>
      <x v="4"/>
    </i>
    <i>
      <x v="5"/>
    </i>
    <i t="grand">
      <x/>
    </i>
  </rowItems>
  <colItems count="1">
    <i/>
  </colItems>
  <pageFields count="1">
    <pageField fld="2" hier="2" name="[donwtime_factors].[Operator Error].&amp;[Yes]" cap="Yes"/>
  </pageFields>
  <dataFields count="1">
    <dataField name="Sum of Downtime(minute)"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wtime_factors]"/>
        <x15:activeTabTopLevelEntity name="[line_downtime2]"/>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138F8E-598E-424A-8D55-4A6942FB1654}" name="PivotTable4" cacheId="43" applyNumberFormats="0" applyBorderFormats="0" applyFontFormats="0" applyPatternFormats="0" applyAlignmentFormats="0" applyWidthHeightFormats="1" dataCaption="Values" tag="4ddd5af3-a943-44bf-baa5-e3b17dd97000" updatedVersion="7" minRefreshableVersion="3" visualTotals="0" useAutoFormatting="1" subtotalHiddenItems="1" rowGrandTotals="0" colGrandTotals="0" itemPrintTitles="1" createdVersion="7" indent="0" compact="0" compactData="0" multipleFieldFilters="0" chartFormat="21">
  <location ref="G3:H9"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6">
    <i>
      <x v="3"/>
    </i>
    <i>
      <x v="2"/>
    </i>
    <i>
      <x v="1"/>
    </i>
    <i>
      <x v="5"/>
    </i>
    <i>
      <x v="4"/>
    </i>
    <i>
      <x/>
    </i>
  </rowItems>
  <colItems count="1">
    <i/>
  </colItems>
  <dataFields count="1">
    <dataField fld="0"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Min batch time"/>
    <pivotHierarchy dragToData="1" caption="Min of Min batch time"/>
    <pivotHierarchy dragToData="1"/>
    <pivotHierarchy dragToData="1"/>
    <pivotHierarchy dragToData="1"/>
    <pivotHierarchy dragToData="1"/>
    <pivotHierarchy dragToData="1" caption="Count of Batch"/>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onwtime_factors]"/>
        <x15:activeTabTopLevelEntity name="[line_downtime2]"/>
        <x15:activeTabTopLevelEntity name="[line_productivit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408221-C851-4F5A-8809-6898AFF2AC9F}" name="PivotTable1" cacheId="3" applyNumberFormats="0" applyBorderFormats="0" applyFontFormats="0" applyPatternFormats="0" applyAlignmentFormats="0" applyWidthHeightFormats="1" dataCaption="Values" tag="a8e7b704-f490-4eae-849f-7df832f6b7d3" updatedVersion="7" minRefreshableVersion="3" useAutoFormatting="1" subtotalHiddenItems="1" colGrandTotals="0" itemPrintTitles="1" createdVersion="7" indent="0" outline="1" outlineData="1" multipleFieldFilters="0" chartFormat="2">
  <location ref="A30:C35" firstHeaderRow="0" firstDataRow="1" firstDataCol="1"/>
  <pivotFields count="4">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Average of Downtime" fld="1" subtotal="average" baseField="0" baseItem="0" numFmtId="2"/>
    <dataField name="Average all operator" fld="2" subtotal="count" baseField="0" baseItem="0" numFmtId="2"/>
  </dataFields>
  <conditionalFormats count="1">
    <conditionalFormat priority="1">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Hierarchies count="45">
    <pivotHierarchy dragToData="1"/>
    <pivotHierarchy multipleItemSelectionAllowed="1" dragToData="1">
      <members count="1" level="1">
        <member name="[donwtime_factors].[Description].&amp;[Machine adjustmen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all operato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Min batch time"/>
    <pivotHierarchy dragToData="1" caption="Min of Min batch time"/>
    <pivotHierarchy dragToData="1"/>
    <pivotHierarchy dragToData="1"/>
    <pivotHierarchy dragToData="1"/>
    <pivotHierarchy dragToData="1"/>
    <pivotHierarchy dragToData="1"/>
    <pivotHierarchy dragToData="1" caption="Average of Down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wtime_factors]"/>
        <x15:activeTabTopLevelEntity name="[line_downtime2]"/>
        <x15:activeTabTopLevelEntity name="[line_productivit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B33FCE-4FEA-4C18-90D4-10BB880E1E3B}" name="PivotTable8" cacheId="2" applyNumberFormats="0" applyBorderFormats="0" applyFontFormats="0" applyPatternFormats="0" applyAlignmentFormats="0" applyWidthHeightFormats="1" dataCaption="Values" tag="e0e1594d-22e8-4e76-b54a-9c891748d589" updatedVersion="7" minRefreshableVersion="3" useAutoFormatting="1" subtotalHiddenItems="1" rowGrandTotals="0" colGrandTotals="0" itemPrintTitles="1" createdVersion="7" indent="0" outline="1" outlineData="1" multipleFieldFilters="0" chartFormat="1">
  <location ref="A110:C127" firstHeaderRow="1" firstDataRow="1" firstDataCol="0"/>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of downtime factor"/>
    <pivotHierarchy dragToData="1"/>
    <pivotHierarchy dragToData="1"/>
    <pivotHierarchy dragToData="1" caption="Count of Min batch time"/>
    <pivotHierarchy dragToData="1" caption="Min of Min batch time"/>
    <pivotHierarchy dragToData="1"/>
    <pivotHierarchy dragToData="1"/>
    <pivotHierarchy dragToData="1"/>
    <pivotHierarchy dragToData="1"/>
    <pivotHierarchy dragToData="1"/>
    <pivotHierarchy dragToData="1"/>
    <pivotHierarchy dragToData="1"/>
    <pivotHierarchy dragToData="1"/>
    <pivotHierarchy dragToData="1" caption="Count of Factor"/>
    <pivotHierarchy dragToData="1" caption="Count of Facto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wtime_factors]"/>
        <x15:activeTabTopLevelEntity name="[line_downtime2]"/>
        <x15:activeTabTopLevelEntity name="[line_productivit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7FD69-B22D-4A35-8A2C-CB8546692849}" name="PivotTable2" cacheId="46" applyNumberFormats="0" applyBorderFormats="0" applyFontFormats="0" applyPatternFormats="0" applyAlignmentFormats="0" applyWidthHeightFormats="1" dataCaption="Values" tag="08c02a26-02d7-42fc-9187-76302bf440ee" updatedVersion="7" minRefreshableVersion="3" useAutoFormatting="1" subtotalHiddenItems="1" itemPrintTitles="1" createdVersion="7" indent="0" outline="1" outlineData="1" multipleFieldFilters="0" chartFormat="4">
  <location ref="A3:C15" firstHeaderRow="0" firstDataRow="1" firstDataCol="1"/>
  <pivotFields count="5">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2">
    <i>
      <x v="7"/>
    </i>
    <i>
      <x v="8"/>
    </i>
    <i>
      <x v="4"/>
    </i>
    <i>
      <x/>
    </i>
    <i>
      <x v="1"/>
    </i>
    <i>
      <x v="9"/>
    </i>
    <i>
      <x v="10"/>
    </i>
    <i>
      <x v="2"/>
    </i>
    <i>
      <x v="6"/>
    </i>
    <i>
      <x v="5"/>
    </i>
    <i>
      <x v="3"/>
    </i>
    <i t="grand">
      <x/>
    </i>
  </rowItems>
  <colFields count="1">
    <field x="-2"/>
  </colFields>
  <colItems count="2">
    <i>
      <x/>
    </i>
    <i i="1">
      <x v="1"/>
    </i>
  </colItems>
  <dataFields count="2">
    <dataField name="Sum of Downtime(minute)" fld="1" baseField="0" baseItem="0"/>
    <dataField name="% cumulative" fld="4" baseField="0" baseItem="0" numFmtId="10">
      <extLst>
        <ext xmlns:x14="http://schemas.microsoft.com/office/spreadsheetml/2009/9/main" uri="{E15A36E0-9728-4e99-A89B-3F7291B0FE68}">
          <x14:dataField pivotShowAs="percentOfRunningTotal" sourceField="1" uniqueName="[__Xl2].[Measures].[Sum of Downtime(minute)]"/>
        </ext>
      </extLst>
    </dataField>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line_productivity].[Operator].&amp;[Charli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cumulativ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wtime_factors]"/>
        <x15:activeTabTopLevelEntity name="[line_downtime2]"/>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E6ACE0-A564-4D50-9903-A7555CA6BCC9}" name="PivotTable5" cacheId="10" applyNumberFormats="0" applyBorderFormats="0" applyFontFormats="0" applyPatternFormats="0" applyAlignmentFormats="0" applyWidthHeightFormats="1" dataCaption="Values" tag="0a7a1eea-73ad-41e4-90ff-f4c5745f4a96" updatedVersion="7" minRefreshableVersion="3" useAutoFormatting="1" subtotalHiddenItems="1" rowGrandTotals="0" colGrandTotals="0" itemPrintTitles="1" createdVersion="7" indent="0" outline="1" outlineData="1" multipleFieldFilters="0" chartFormat="4">
  <location ref="A41:B47"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nonAutoSortDefault="1" defaultSubtotal="0" defaultAttributeDrillState="1">
      <items count="6">
        <item x="1"/>
        <item x="4"/>
        <item x="5"/>
        <item x="0"/>
        <item x="2"/>
        <item x="3"/>
      </items>
    </pivotField>
    <pivotField allDrilled="1" subtotalTop="0" showAll="0" dataSourceSort="1" defaultSubtotal="0" defaultAttributeDrillState="1"/>
  </pivotFields>
  <rowFields count="1">
    <field x="2"/>
  </rowFields>
  <rowItems count="6">
    <i>
      <x/>
    </i>
    <i>
      <x v="1"/>
    </i>
    <i>
      <x v="2"/>
    </i>
    <i>
      <x v="3"/>
    </i>
    <i>
      <x v="4"/>
    </i>
    <i>
      <x v="5"/>
    </i>
  </rowItems>
  <colItems count="1">
    <i/>
  </colItems>
  <pageFields count="1">
    <pageField fld="1" hier="2" name="[donwtime_factors].[Operator Error].&amp;[Yes]" cap="Yes"/>
  </pageFields>
  <dataFields count="1">
    <dataField name="% of downtime factor" fld="0" baseField="0" baseItem="0" numFmtId="10">
      <extLst>
        <ext xmlns:x14="http://schemas.microsoft.com/office/spreadsheetml/2009/9/main" uri="{E15A36E0-9728-4e99-A89B-3F7291B0FE68}">
          <x14:dataField pivotShowAs="percentOfParentRow"/>
        </ext>
      </extLst>
    </dataField>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line_productivity].[Operator].&amp;[Charli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of downtime factor"/>
    <pivotHierarchy dragToData="1"/>
    <pivotHierarchy dragToData="1"/>
    <pivotHierarchy dragToData="1" caption="Count of Min batch time"/>
    <pivotHierarchy dragToData="1" caption="Min of Min batch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wtime_factors]"/>
        <x15:activeTabTopLevelEntity name="[line_downtime2]"/>
        <x15:activeTabTopLevelEntity name="[line_productivit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DFBF7B-1A48-4D86-9B7C-FF0587CB10D3}" autoFormatId="16" applyNumberFormats="0" applyBorderFormats="0" applyFontFormats="0" applyPatternFormats="0" applyAlignmentFormats="0" applyWidthHeightFormats="0">
  <queryTableRefresh nextId="10">
    <queryTableFields count="3">
      <queryTableField id="1" name="Batch" tableColumnId="1"/>
      <queryTableField id="8" name="Factor" tableColumnId="2"/>
      <queryTableField id="3" name="Valu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vor" xr10:uid="{0660B6E1-CF68-4AA4-A34B-B30C783463F7}" sourceName="[products].[Flavor]">
  <pivotTables>
    <pivotTable tabId="11" name="PivotTable4"/>
    <pivotTable tabId="11" name="PivotTable2"/>
  </pivotTables>
  <data>
    <olap pivotCacheId="1634494540">
      <levels count="2">
        <level uniqueName="[products].[Flavor].[(All)]" sourceCaption="(All)" count="0"/>
        <level uniqueName="[products].[Flavor].[Flavor]" sourceCaption="Flavor" count="5">
          <ranges>
            <range startItem="0">
              <i n="[products].[Flavor].&amp;[Cola]" c="Cola"/>
              <i n="[products].[Flavor].&amp;[Diet Cola]" c="Diet Cola"/>
              <i n="[products].[Flavor].&amp;[Lemon lime]" c="Lemon lime"/>
              <i n="[products].[Flavor].&amp;[Orange]" c="Orange"/>
              <i n="[products].[Flavor].&amp;[Root Beer]" c="Root Beer"/>
            </range>
          </ranges>
        </level>
      </levels>
      <selections count="1">
        <selection n="[products].[Flav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47528598-01C3-44C5-9205-31585B7F10BE}" sourceName="[line_productivity].[Operator]">
  <pivotTables>
    <pivotTable tabId="11" name="PivotTable5"/>
  </pivotTables>
  <data>
    <olap pivotCacheId="1634494540">
      <levels count="2">
        <level uniqueName="[line_productivity].[Operator].[(All)]" sourceCaption="(All)" count="0"/>
        <level uniqueName="[line_productivity].[Operator].[Operator]" sourceCaption="Operator" count="4">
          <ranges>
            <range startItem="0">
              <i n="[line_productivity].[Operator].&amp;[Charlie]" c="Charlie"/>
              <i n="[line_productivity].[Operator].&amp;[Dee]" c="Dee"/>
              <i n="[line_productivity].[Operator].&amp;[Dennis]" c="Dennis"/>
              <i n="[line_productivity].[Operator].&amp;[Mac]" c="Mac"/>
            </range>
          </ranges>
        </level>
      </levels>
      <selections count="1">
        <selection n="[line_productivity].[Operator].&amp;[Charli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5E6F5062-8E49-44A0-A058-B6D92DA8584A}" sourceName="[donwtime_factors].[Description]">
  <pivotTables>
    <pivotTable tabId="11" name="PivotTable4"/>
    <pivotTable tabId="11" name="PivotTable2"/>
  </pivotTables>
  <data>
    <olap pivotCacheId="1634494540">
      <levels count="2">
        <level uniqueName="[donwtime_factors].[Description].[(All)]" sourceCaption="(All)" count="0"/>
        <level uniqueName="[donwtime_factors].[Description].[Description]" sourceCaption="Description" count="12">
          <ranges>
            <range startItem="0">
              <i n="[donwtime_factors].[Description].&amp;[Batch change]" c="Batch change"/>
              <i n="[donwtime_factors].[Description].&amp;[Batch coding error]" c="Batch coding error"/>
              <i n="[donwtime_factors].[Description].&amp;[Calibration error]" c="Calibration error"/>
              <i n="[donwtime_factors].[Description].&amp;[Conveyor belt jam]" c="Conveyor belt jam"/>
              <i n="[donwtime_factors].[Description].&amp;[Emergency stop]" c="Emergency stop"/>
              <i n="[donwtime_factors].[Description].&amp;[Inventory shortage]" c="Inventory shortage"/>
              <i n="[donwtime_factors].[Description].&amp;[Label switch]" c="Label switch"/>
              <i n="[donwtime_factors].[Description].&amp;[Labeling error]" c="Labeling error"/>
              <i n="[donwtime_factors].[Description].&amp;[Machine adjustment]" c="Machine adjustment"/>
              <i n="[donwtime_factors].[Description].&amp;[Machine failure]" c="Machine failure"/>
              <i n="[donwtime_factors].[Description].&amp;[Other]" c="Other"/>
              <i n="[donwtime_factors].[Description].&amp;[Product spill]" c="Product spill"/>
            </range>
          </ranges>
        </level>
      </levels>
      <selections count="1">
        <selection n="[donwtime_factors].[Descrip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lavor" xr10:uid="{ED0618B7-99B6-4A9F-A0CF-4970CB10017E}" cache="Slicer_Flavor" caption="Flavor" level="1" rowHeight="241300"/>
  <slicer name="Operator" xr10:uid="{F3E7CAE5-0B53-4240-B1F3-3677F2BF0D8A}" cache="Slicer_Operator" caption="Operator" level="1" rowHeight="182880"/>
  <slicer name="Description" xr10:uid="{A1889EE4-0C6D-429A-9358-4239CC7BAC8C}" cache="Slicer_Description" caption="Description" level="1"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25F2F4-7C66-42DE-9848-87D2603C9767}" name="line_productivity" displayName="line_productivity" ref="A1:F39" totalsRowShown="0" headerRowDxfId="5">
  <autoFilter ref="A1:F39" xr:uid="{2625F2F4-7C66-42DE-9848-87D2603C9767}"/>
  <tableColumns count="6">
    <tableColumn id="1" xr3:uid="{A08ED380-A19C-4B67-AA61-26C1E0179099}" name="Date" dataDxfId="4"/>
    <tableColumn id="2" xr3:uid="{6568C581-ACA6-4C29-856E-1911216F88E4}" name="Product"/>
    <tableColumn id="3" xr3:uid="{D4B12C42-E048-44F4-AAD2-99AB6536CB3C}" name="Batch"/>
    <tableColumn id="4" xr3:uid="{D6ECE71A-4E09-47E1-AABB-F1F1AD623B71}" name="Operator"/>
    <tableColumn id="5" xr3:uid="{7BBD8FF3-01AB-4540-B61F-C09A32C04E4F}" name="Start Time" dataDxfId="3"/>
    <tableColumn id="6" xr3:uid="{F5A427B8-D409-4BF5-8B86-6586DCC095D2}" name="End Time" dataDxf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D72524-1375-4CD0-8785-1813D4789D3F}" name="products" displayName="products" ref="A1:D7" totalsRowShown="0" headerRowDxfId="1">
  <autoFilter ref="A1:D7" xr:uid="{69D72524-1375-4CD0-8785-1813D4789D3F}"/>
  <tableColumns count="4">
    <tableColumn id="1" xr3:uid="{6A18FF1B-BD94-42B6-AFC1-B53B656AF1D0}" name="Product"/>
    <tableColumn id="2" xr3:uid="{4B0EA546-5A8A-4B0C-9A3D-5CC34FB2D333}" name="Flavor"/>
    <tableColumn id="3" xr3:uid="{FDE9D8A8-1000-441B-9EC0-83ADBE4D502A}" name="Size"/>
    <tableColumn id="4" xr3:uid="{550E540D-D826-461D-8688-4FC9E2DA698C}" name="Min batch tim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843952-166D-4DFC-88E8-C7F8DAADF745}" name="donwtime_factors" displayName="donwtime_factors" ref="A1:C13" totalsRowShown="0" headerRowDxfId="0">
  <autoFilter ref="A1:C13" xr:uid="{07843952-166D-4DFC-88E8-C7F8DAADF745}"/>
  <tableColumns count="3">
    <tableColumn id="1" xr3:uid="{42203B61-4EA2-4205-A223-4B73188D7B53}" name="Factor"/>
    <tableColumn id="2" xr3:uid="{294755CA-8E9D-4557-B29C-C1577B2446B7}" name="Description"/>
    <tableColumn id="3" xr3:uid="{DDDAA9D3-60B7-4C59-B966-92100FE47599}" name="Operator Erro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48AD25-0F66-40A6-A9F2-C9F909799BA9}" name="line_downtime2" displayName="line_downtime2" ref="A1:C62" tableType="queryTable" totalsRowShown="0">
  <autoFilter ref="A1:C62" xr:uid="{6A48AD25-0F66-40A6-A9F2-C9F909799BA9}"/>
  <tableColumns count="3">
    <tableColumn id="1" xr3:uid="{6B029B51-0A41-4E8F-80C2-8873F93AC6ED}" uniqueName="1" name="Batch" queryTableFieldId="1"/>
    <tableColumn id="2" xr3:uid="{87932B98-1CE9-4448-A09C-E8ECDEB13833}" uniqueName="2" name="Factor" queryTableFieldId="8"/>
    <tableColumn id="3" xr3:uid="{2C474885-83A2-426A-9932-01554C3FDDA7}" uniqueName="3" name="Downtime(minute)"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FE1EC-0DF5-4531-9E13-82B0730C6344}">
  <dimension ref="A1"/>
  <sheetViews>
    <sheetView showGridLines="0" showRowColHeaders="0" tabSelected="1" zoomScaleNormal="100" workbookViewId="0">
      <selection activeCell="G6" sqref="G6"/>
    </sheetView>
  </sheetViews>
  <sheetFormatPr defaultRowHeight="14.25"/>
  <cols>
    <col min="1" max="1" width="5.625" customWidth="1"/>
  </cols>
  <sheetData>
    <row r="1" ht="0.95"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2B74-F5A3-4C1B-BA76-FC8A041549EC}">
  <dimension ref="A3:H127"/>
  <sheetViews>
    <sheetView topLeftCell="A13" workbookViewId="0">
      <selection activeCell="A3" sqref="A3:B15"/>
    </sheetView>
  </sheetViews>
  <sheetFormatPr defaultRowHeight="14.25"/>
  <cols>
    <col min="1" max="1" width="17.375" bestFit="1" customWidth="1"/>
    <col min="2" max="2" width="23.875" bestFit="1" customWidth="1"/>
    <col min="3" max="3" width="12.625" bestFit="1" customWidth="1"/>
    <col min="4" max="4" width="15.625" bestFit="1" customWidth="1"/>
    <col min="5" max="5" width="17.125" bestFit="1" customWidth="1"/>
    <col min="6" max="6" width="17.875" bestFit="1" customWidth="1"/>
    <col min="7" max="7" width="9.875" bestFit="1" customWidth="1"/>
    <col min="8" max="9" width="17.625" bestFit="1" customWidth="1"/>
    <col min="10" max="10" width="14.625" bestFit="1" customWidth="1"/>
    <col min="11" max="11" width="6" bestFit="1" customWidth="1"/>
    <col min="12" max="13" width="12" bestFit="1" customWidth="1"/>
    <col min="14" max="20" width="1.875" bestFit="1" customWidth="1"/>
    <col min="21" max="23" width="2.875" bestFit="1" customWidth="1"/>
    <col min="24" max="24" width="17.375" bestFit="1" customWidth="1"/>
    <col min="25" max="31" width="1.875" bestFit="1" customWidth="1"/>
    <col min="32" max="34" width="2.875" bestFit="1" customWidth="1"/>
    <col min="35" max="35" width="18.875" bestFit="1" customWidth="1"/>
    <col min="36" max="42" width="1.875" bestFit="1" customWidth="1"/>
    <col min="43" max="45" width="2.875" bestFit="1" customWidth="1"/>
    <col min="46" max="46" width="17" bestFit="1" customWidth="1"/>
    <col min="47" max="53" width="1.875" bestFit="1" customWidth="1"/>
    <col min="54" max="56" width="2.875" bestFit="1" customWidth="1"/>
    <col min="57" max="57" width="19.625" bestFit="1" customWidth="1"/>
    <col min="58" max="64" width="1.875" bestFit="1" customWidth="1"/>
    <col min="65" max="67" width="2.875" bestFit="1" customWidth="1"/>
    <col min="68" max="68" width="13.625" bestFit="1" customWidth="1"/>
    <col min="69" max="75" width="1.875" bestFit="1" customWidth="1"/>
    <col min="76" max="78" width="2.875" bestFit="1" customWidth="1"/>
    <col min="79" max="79" width="15.375" bestFit="1" customWidth="1"/>
    <col min="80" max="86" width="1.875" bestFit="1" customWidth="1"/>
    <col min="87" max="89" width="2.875" bestFit="1" customWidth="1"/>
    <col min="90" max="90" width="20.625" bestFit="1" customWidth="1"/>
    <col min="91" max="97" width="1.875" bestFit="1" customWidth="1"/>
    <col min="98" max="100" width="2.875" bestFit="1" customWidth="1"/>
    <col min="101" max="101" width="16.375" bestFit="1" customWidth="1"/>
    <col min="102" max="108" width="1.875" bestFit="1" customWidth="1"/>
    <col min="109" max="111" width="2.875" bestFit="1" customWidth="1"/>
    <col min="112" max="112" width="7.75" bestFit="1" customWidth="1"/>
    <col min="113" max="119" width="1.875" bestFit="1" customWidth="1"/>
    <col min="120" max="122" width="2.875" bestFit="1" customWidth="1"/>
    <col min="123" max="123" width="13.75" bestFit="1" customWidth="1"/>
    <col min="124" max="130" width="1.875" bestFit="1" customWidth="1"/>
    <col min="131" max="133" width="2.875" bestFit="1" customWidth="1"/>
  </cols>
  <sheetData>
    <row r="3" spans="1:8">
      <c r="A3" s="16" t="s">
        <v>55</v>
      </c>
      <c r="B3" t="s">
        <v>58</v>
      </c>
      <c r="C3" t="s">
        <v>60</v>
      </c>
      <c r="G3" s="16" t="s">
        <v>1</v>
      </c>
      <c r="H3" t="s">
        <v>59</v>
      </c>
    </row>
    <row r="4" spans="1:8">
      <c r="A4" s="17" t="s">
        <v>9</v>
      </c>
      <c r="B4" s="30">
        <v>332</v>
      </c>
      <c r="C4" s="19">
        <v>0.23919308357348704</v>
      </c>
      <c r="G4" t="s">
        <v>24</v>
      </c>
      <c r="H4" s="18">
        <v>0.6805293005671077</v>
      </c>
    </row>
    <row r="5" spans="1:8">
      <c r="A5" s="17" t="s">
        <v>12</v>
      </c>
      <c r="B5" s="30">
        <v>254</v>
      </c>
      <c r="C5" s="19">
        <v>0.42219020172910665</v>
      </c>
      <c r="G5" t="s">
        <v>26</v>
      </c>
      <c r="H5" s="18">
        <v>0.67605633802816911</v>
      </c>
    </row>
    <row r="6" spans="1:8">
      <c r="A6" s="17" t="s">
        <v>14</v>
      </c>
      <c r="B6" s="30">
        <v>225</v>
      </c>
      <c r="C6" s="19">
        <v>0.58429394812680113</v>
      </c>
      <c r="G6" t="s">
        <v>25</v>
      </c>
      <c r="H6" s="18">
        <v>0.64562410329985653</v>
      </c>
    </row>
    <row r="7" spans="1:8">
      <c r="A7" s="17" t="s">
        <v>8</v>
      </c>
      <c r="B7" s="30">
        <v>160</v>
      </c>
      <c r="C7" s="19">
        <v>0.69956772334293948</v>
      </c>
      <c r="G7" t="s">
        <v>27</v>
      </c>
      <c r="H7" s="18">
        <v>0.61946902654867264</v>
      </c>
    </row>
    <row r="8" spans="1:8">
      <c r="A8" s="17" t="s">
        <v>13</v>
      </c>
      <c r="B8" s="30">
        <v>145</v>
      </c>
      <c r="C8" s="19">
        <v>0.80403458213256485</v>
      </c>
      <c r="G8" t="s">
        <v>23</v>
      </c>
      <c r="H8" s="18">
        <v>0.44444444444444442</v>
      </c>
    </row>
    <row r="9" spans="1:8">
      <c r="A9" s="17" t="s">
        <v>16</v>
      </c>
      <c r="B9" s="30">
        <v>74</v>
      </c>
      <c r="C9" s="19">
        <v>0.85734870317002887</v>
      </c>
      <c r="G9" t="s">
        <v>28</v>
      </c>
      <c r="H9" s="18">
        <v>0.22202084277299503</v>
      </c>
    </row>
    <row r="10" spans="1:8">
      <c r="A10" s="17" t="s">
        <v>10</v>
      </c>
      <c r="B10" s="30">
        <v>57</v>
      </c>
      <c r="C10" s="19">
        <v>0.89841498559077815</v>
      </c>
    </row>
    <row r="11" spans="1:8">
      <c r="A11" s="17" t="s">
        <v>18</v>
      </c>
      <c r="B11" s="30">
        <v>49</v>
      </c>
      <c r="C11" s="19">
        <v>0.93371757925072041</v>
      </c>
    </row>
    <row r="12" spans="1:8">
      <c r="A12" s="17" t="s">
        <v>19</v>
      </c>
      <c r="B12" s="30">
        <v>42</v>
      </c>
      <c r="C12" s="19">
        <v>0.96397694524495681</v>
      </c>
    </row>
    <row r="13" spans="1:8">
      <c r="A13" s="17" t="s">
        <v>11</v>
      </c>
      <c r="B13" s="30">
        <v>33</v>
      </c>
      <c r="C13" s="19">
        <v>0.98775216138328525</v>
      </c>
    </row>
    <row r="14" spans="1:8">
      <c r="A14" s="17" t="s">
        <v>15</v>
      </c>
      <c r="B14" s="30">
        <v>17</v>
      </c>
      <c r="C14" s="19">
        <v>1</v>
      </c>
    </row>
    <row r="15" spans="1:8">
      <c r="A15" s="17" t="s">
        <v>56</v>
      </c>
      <c r="B15" s="30">
        <v>1388</v>
      </c>
      <c r="C15" s="19"/>
    </row>
    <row r="16" spans="1:8">
      <c r="A16" s="17"/>
    </row>
    <row r="17" spans="1:3">
      <c r="A17" s="16" t="s">
        <v>7</v>
      </c>
      <c r="B17" t="s" vm="1">
        <v>21</v>
      </c>
    </row>
    <row r="19" spans="1:3">
      <c r="A19" s="16" t="s">
        <v>55</v>
      </c>
      <c r="B19" t="s">
        <v>58</v>
      </c>
    </row>
    <row r="20" spans="1:3">
      <c r="A20" s="17" t="s">
        <v>8</v>
      </c>
      <c r="B20">
        <v>160</v>
      </c>
    </row>
    <row r="21" spans="1:3">
      <c r="A21" s="17" t="s">
        <v>13</v>
      </c>
      <c r="B21">
        <v>145</v>
      </c>
    </row>
    <row r="22" spans="1:3">
      <c r="A22" s="17" t="s">
        <v>18</v>
      </c>
      <c r="B22">
        <v>49</v>
      </c>
    </row>
    <row r="23" spans="1:3">
      <c r="A23" s="17" t="s">
        <v>11</v>
      </c>
      <c r="B23">
        <v>33</v>
      </c>
    </row>
    <row r="24" spans="1:3">
      <c r="A24" s="17" t="s">
        <v>9</v>
      </c>
      <c r="B24">
        <v>332</v>
      </c>
    </row>
    <row r="25" spans="1:3">
      <c r="A25" s="17" t="s">
        <v>10</v>
      </c>
      <c r="B25">
        <v>57</v>
      </c>
    </row>
    <row r="26" spans="1:3">
      <c r="A26" s="17" t="s">
        <v>56</v>
      </c>
      <c r="B26">
        <v>776</v>
      </c>
    </row>
    <row r="30" spans="1:3">
      <c r="A30" s="16" t="s">
        <v>55</v>
      </c>
      <c r="B30" t="s">
        <v>63</v>
      </c>
      <c r="C30" t="s">
        <v>62</v>
      </c>
    </row>
    <row r="31" spans="1:3">
      <c r="A31" s="17" t="s">
        <v>39</v>
      </c>
      <c r="B31" s="20">
        <v>22.588235294117649</v>
      </c>
      <c r="C31" s="20">
        <v>22.754098360655739</v>
      </c>
    </row>
    <row r="32" spans="1:3">
      <c r="A32" s="17" t="s">
        <v>40</v>
      </c>
      <c r="B32" s="20">
        <v>19.473684210526315</v>
      </c>
      <c r="C32" s="20">
        <v>22.754098360655739</v>
      </c>
    </row>
    <row r="33" spans="1:3">
      <c r="A33" s="17" t="s">
        <v>41</v>
      </c>
      <c r="B33" s="20">
        <v>25.166666666666668</v>
      </c>
      <c r="C33" s="20">
        <v>22.754098360655739</v>
      </c>
    </row>
    <row r="34" spans="1:3">
      <c r="A34" s="17" t="s">
        <v>42</v>
      </c>
      <c r="B34" s="20">
        <v>25.53846153846154</v>
      </c>
      <c r="C34" s="20">
        <v>22.754098360655739</v>
      </c>
    </row>
    <row r="35" spans="1:3">
      <c r="A35" s="17" t="s">
        <v>56</v>
      </c>
      <c r="B35" s="20">
        <v>22.754098360655739</v>
      </c>
      <c r="C35" s="20">
        <v>22.754098360655739</v>
      </c>
    </row>
    <row r="39" spans="1:3">
      <c r="A39" s="16" t="s">
        <v>7</v>
      </c>
      <c r="B39" t="s" vm="1">
        <v>21</v>
      </c>
    </row>
    <row r="41" spans="1:3">
      <c r="A41" s="16" t="s">
        <v>55</v>
      </c>
      <c r="B41" t="s">
        <v>61</v>
      </c>
    </row>
    <row r="42" spans="1:3">
      <c r="A42" s="17" t="s">
        <v>13</v>
      </c>
      <c r="B42" s="19">
        <v>0.19298245614035087</v>
      </c>
    </row>
    <row r="43" spans="1:3">
      <c r="A43" s="17" t="s">
        <v>9</v>
      </c>
      <c r="B43" s="19">
        <v>0.51754385964912286</v>
      </c>
    </row>
    <row r="44" spans="1:3">
      <c r="A44" s="17" t="s">
        <v>10</v>
      </c>
      <c r="B44" s="19">
        <v>9.6491228070175433E-2</v>
      </c>
    </row>
    <row r="45" spans="1:3">
      <c r="A45" s="17" t="s">
        <v>8</v>
      </c>
      <c r="B45" s="19">
        <v>4.3859649122807015E-2</v>
      </c>
    </row>
    <row r="46" spans="1:3">
      <c r="A46" s="17" t="s">
        <v>18</v>
      </c>
      <c r="B46" s="19">
        <v>0.10526315789473684</v>
      </c>
    </row>
    <row r="47" spans="1:3">
      <c r="A47" s="17" t="s">
        <v>11</v>
      </c>
      <c r="B47" s="19">
        <v>4.3859649122807015E-2</v>
      </c>
    </row>
    <row r="84" spans="1:2">
      <c r="A84" s="16" t="s">
        <v>7</v>
      </c>
      <c r="B84" t="s" vm="1">
        <v>21</v>
      </c>
    </row>
    <row r="86" spans="1:2">
      <c r="A86" s="16" t="s">
        <v>55</v>
      </c>
      <c r="B86" t="s">
        <v>58</v>
      </c>
    </row>
    <row r="87" spans="1:2">
      <c r="A87" s="17" t="s">
        <v>39</v>
      </c>
      <c r="B87">
        <v>228</v>
      </c>
    </row>
    <row r="88" spans="1:2">
      <c r="A88" s="17" t="s">
        <v>40</v>
      </c>
      <c r="B88">
        <v>192</v>
      </c>
    </row>
    <row r="89" spans="1:2">
      <c r="A89" s="17" t="s">
        <v>41</v>
      </c>
      <c r="B89">
        <v>164</v>
      </c>
    </row>
    <row r="90" spans="1:2">
      <c r="A90" s="17" t="s">
        <v>42</v>
      </c>
      <c r="B90">
        <v>192</v>
      </c>
    </row>
    <row r="91" spans="1:2">
      <c r="A91" s="17" t="s">
        <v>56</v>
      </c>
      <c r="B91">
        <v>776</v>
      </c>
    </row>
    <row r="110" spans="1:3">
      <c r="A110" s="21"/>
      <c r="B110" s="22"/>
      <c r="C110" s="23"/>
    </row>
    <row r="111" spans="1:3">
      <c r="A111" s="24"/>
      <c r="B111" s="25"/>
      <c r="C111" s="26"/>
    </row>
    <row r="112" spans="1:3">
      <c r="A112" s="24"/>
      <c r="B112" s="25"/>
      <c r="C112" s="26"/>
    </row>
    <row r="113" spans="1:3">
      <c r="A113" s="24"/>
      <c r="B113" s="25"/>
      <c r="C113" s="26"/>
    </row>
    <row r="114" spans="1:3">
      <c r="A114" s="24"/>
      <c r="B114" s="25"/>
      <c r="C114" s="26"/>
    </row>
    <row r="115" spans="1:3">
      <c r="A115" s="24"/>
      <c r="B115" s="25"/>
      <c r="C115" s="26"/>
    </row>
    <row r="116" spans="1:3">
      <c r="A116" s="24"/>
      <c r="B116" s="25"/>
      <c r="C116" s="26"/>
    </row>
    <row r="117" spans="1:3">
      <c r="A117" s="24"/>
      <c r="B117" s="25"/>
      <c r="C117" s="26"/>
    </row>
    <row r="118" spans="1:3">
      <c r="A118" s="24"/>
      <c r="B118" s="25"/>
      <c r="C118" s="26"/>
    </row>
    <row r="119" spans="1:3">
      <c r="A119" s="24"/>
      <c r="B119" s="25"/>
      <c r="C119" s="26"/>
    </row>
    <row r="120" spans="1:3">
      <c r="A120" s="24"/>
      <c r="B120" s="25"/>
      <c r="C120" s="26"/>
    </row>
    <row r="121" spans="1:3">
      <c r="A121" s="24"/>
      <c r="B121" s="25"/>
      <c r="C121" s="26"/>
    </row>
    <row r="122" spans="1:3">
      <c r="A122" s="24"/>
      <c r="B122" s="25"/>
      <c r="C122" s="26"/>
    </row>
    <row r="123" spans="1:3">
      <c r="A123" s="24"/>
      <c r="B123" s="25"/>
      <c r="C123" s="26"/>
    </row>
    <row r="124" spans="1:3">
      <c r="A124" s="24"/>
      <c r="B124" s="25"/>
      <c r="C124" s="26"/>
    </row>
    <row r="125" spans="1:3">
      <c r="A125" s="24"/>
      <c r="B125" s="25"/>
      <c r="C125" s="26"/>
    </row>
    <row r="126" spans="1:3">
      <c r="A126" s="24"/>
      <c r="B126" s="25"/>
      <c r="C126" s="26"/>
    </row>
    <row r="127" spans="1:3">
      <c r="A127" s="27"/>
      <c r="B127" s="28"/>
      <c r="C127" s="29"/>
    </row>
  </sheetData>
  <conditionalFormatting pivot="1" sqref="B31:B3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BDEA2-E98D-4C7C-9E60-F7CAC3B7B698}">
  <dimension ref="D3:E9"/>
  <sheetViews>
    <sheetView workbookViewId="0">
      <selection activeCell="D3" sqref="D3:E9"/>
    </sheetView>
  </sheetViews>
  <sheetFormatPr defaultRowHeight="14.25"/>
  <sheetData>
    <row r="3" spans="4:5">
      <c r="D3" t="s">
        <v>1</v>
      </c>
      <c r="E3" t="s">
        <v>59</v>
      </c>
    </row>
    <row r="4" spans="4:5">
      <c r="D4" t="s">
        <v>24</v>
      </c>
      <c r="E4">
        <v>0.6805293005671077</v>
      </c>
    </row>
    <row r="5" spans="4:5">
      <c r="D5" t="s">
        <v>26</v>
      </c>
      <c r="E5">
        <v>0.67605633802816911</v>
      </c>
    </row>
    <row r="6" spans="4:5">
      <c r="D6" t="s">
        <v>25</v>
      </c>
      <c r="E6">
        <v>0.64562410329985653</v>
      </c>
    </row>
    <row r="7" spans="4:5">
      <c r="D7" t="s">
        <v>27</v>
      </c>
      <c r="E7">
        <v>0.61946902654867264</v>
      </c>
    </row>
    <row r="8" spans="4:5">
      <c r="D8" t="s">
        <v>23</v>
      </c>
      <c r="E8">
        <v>0.44444444444444442</v>
      </c>
    </row>
    <row r="9" spans="4:5">
      <c r="D9" t="s">
        <v>28</v>
      </c>
      <c r="E9">
        <v>0.22202084277299503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62F3-8C54-4C2B-8E48-722D67F8C002}">
  <dimension ref="A1:F39"/>
  <sheetViews>
    <sheetView workbookViewId="0">
      <selection activeCell="F17" sqref="F17"/>
    </sheetView>
  </sheetViews>
  <sheetFormatPr defaultRowHeight="14.25"/>
  <cols>
    <col min="1" max="1" width="10.375" bestFit="1" customWidth="1"/>
    <col min="2" max="2" width="9.75" customWidth="1"/>
    <col min="3" max="3" width="8.875" customWidth="1"/>
    <col min="4" max="4" width="10.75" customWidth="1"/>
    <col min="5" max="5" width="11.875" customWidth="1"/>
    <col min="6" max="6" width="11.125" customWidth="1"/>
    <col min="7" max="7" width="8.75" bestFit="1" customWidth="1"/>
    <col min="8" max="11" width="8.875" customWidth="1"/>
    <col min="13" max="13" width="8.875" customWidth="1"/>
  </cols>
  <sheetData>
    <row r="1" spans="1:6" ht="15">
      <c r="A1" s="2" t="s">
        <v>0</v>
      </c>
      <c r="B1" s="2" t="s">
        <v>1</v>
      </c>
      <c r="C1" s="2" t="s">
        <v>2</v>
      </c>
      <c r="D1" s="2" t="s">
        <v>3</v>
      </c>
      <c r="E1" s="2" t="s">
        <v>4</v>
      </c>
      <c r="F1" s="2" t="s">
        <v>5</v>
      </c>
    </row>
    <row r="2" spans="1:6">
      <c r="A2" s="1">
        <v>45533</v>
      </c>
      <c r="B2" t="s">
        <v>23</v>
      </c>
      <c r="C2">
        <v>422111</v>
      </c>
      <c r="D2" t="s">
        <v>42</v>
      </c>
      <c r="E2" s="3">
        <v>0.49305555555555558</v>
      </c>
      <c r="F2" s="3">
        <v>0.58680555555555558</v>
      </c>
    </row>
    <row r="3" spans="1:6">
      <c r="A3" s="1">
        <v>45533</v>
      </c>
      <c r="B3" t="s">
        <v>24</v>
      </c>
      <c r="C3">
        <v>422112</v>
      </c>
      <c r="D3" t="s">
        <v>42</v>
      </c>
      <c r="E3" s="3">
        <v>0.58680555555555558</v>
      </c>
      <c r="F3" s="3">
        <v>0.65625</v>
      </c>
    </row>
    <row r="4" spans="1:6">
      <c r="A4" s="1">
        <v>45533</v>
      </c>
      <c r="B4" t="s">
        <v>24</v>
      </c>
      <c r="C4">
        <v>422113</v>
      </c>
      <c r="D4" t="s">
        <v>42</v>
      </c>
      <c r="E4" s="3">
        <v>0.65625</v>
      </c>
      <c r="F4" s="3">
        <v>0.73263888888888884</v>
      </c>
    </row>
    <row r="5" spans="1:6">
      <c r="A5" s="1">
        <v>45533</v>
      </c>
      <c r="B5" t="s">
        <v>24</v>
      </c>
      <c r="C5">
        <v>422114</v>
      </c>
      <c r="D5" t="s">
        <v>42</v>
      </c>
      <c r="E5" s="3">
        <v>0.73263888888888884</v>
      </c>
      <c r="F5" s="3">
        <v>0.80208333333333326</v>
      </c>
    </row>
    <row r="6" spans="1:6">
      <c r="A6" s="1">
        <v>45533</v>
      </c>
      <c r="B6" t="s">
        <v>24</v>
      </c>
      <c r="C6">
        <v>422115</v>
      </c>
      <c r="D6" t="s">
        <v>39</v>
      </c>
      <c r="E6" s="3">
        <v>0.80208333333333326</v>
      </c>
      <c r="F6" s="3">
        <v>0.86041666666666661</v>
      </c>
    </row>
    <row r="7" spans="1:6">
      <c r="A7" s="1">
        <v>45533</v>
      </c>
      <c r="B7" t="s">
        <v>24</v>
      </c>
      <c r="C7">
        <v>422116</v>
      </c>
      <c r="D7" t="s">
        <v>39</v>
      </c>
      <c r="E7" s="3">
        <v>0.86041666666666661</v>
      </c>
      <c r="F7" s="3">
        <v>0.90208333333333324</v>
      </c>
    </row>
    <row r="8" spans="1:6">
      <c r="A8" s="1">
        <v>45533</v>
      </c>
      <c r="B8" t="s">
        <v>24</v>
      </c>
      <c r="C8">
        <v>422117</v>
      </c>
      <c r="D8" t="s">
        <v>39</v>
      </c>
      <c r="E8" s="3">
        <v>0.90208333333333324</v>
      </c>
      <c r="F8" s="3">
        <v>0.95416666666666661</v>
      </c>
    </row>
    <row r="9" spans="1:6">
      <c r="A9" s="1">
        <v>45534</v>
      </c>
      <c r="B9" t="s">
        <v>25</v>
      </c>
      <c r="C9">
        <v>422118</v>
      </c>
      <c r="D9" t="s">
        <v>40</v>
      </c>
      <c r="E9" s="3">
        <v>0.1701388888888889</v>
      </c>
      <c r="F9" s="3">
        <v>0.25347222222222221</v>
      </c>
    </row>
    <row r="10" spans="1:6">
      <c r="A10" s="1">
        <v>45534</v>
      </c>
      <c r="B10" t="s">
        <v>25</v>
      </c>
      <c r="C10">
        <v>422119</v>
      </c>
      <c r="D10" t="s">
        <v>40</v>
      </c>
      <c r="E10" s="3">
        <v>0.25347222222222221</v>
      </c>
      <c r="F10" s="3">
        <v>0.3125</v>
      </c>
    </row>
    <row r="11" spans="1:6">
      <c r="A11" s="1">
        <v>45534</v>
      </c>
      <c r="B11" t="s">
        <v>25</v>
      </c>
      <c r="C11">
        <v>422120</v>
      </c>
      <c r="D11" t="s">
        <v>40</v>
      </c>
      <c r="E11" s="3">
        <v>0.3125</v>
      </c>
      <c r="F11" s="3">
        <v>0.39027777777777778</v>
      </c>
    </row>
    <row r="12" spans="1:6">
      <c r="A12" s="1">
        <v>45534</v>
      </c>
      <c r="B12" t="s">
        <v>25</v>
      </c>
      <c r="C12">
        <v>422121</v>
      </c>
      <c r="D12" t="s">
        <v>41</v>
      </c>
      <c r="E12" s="3">
        <v>0.39027777777777778</v>
      </c>
      <c r="F12" s="3">
        <v>0.44236111111111109</v>
      </c>
    </row>
    <row r="13" spans="1:6">
      <c r="A13" s="1">
        <v>45534</v>
      </c>
      <c r="B13" t="s">
        <v>25</v>
      </c>
      <c r="C13">
        <v>422122</v>
      </c>
      <c r="D13" t="s">
        <v>41</v>
      </c>
      <c r="E13" s="3">
        <v>0.44236111111111109</v>
      </c>
      <c r="F13" s="3">
        <v>0.50138888888888888</v>
      </c>
    </row>
    <row r="14" spans="1:6">
      <c r="A14" s="1">
        <v>45534</v>
      </c>
      <c r="B14" t="s">
        <v>25</v>
      </c>
      <c r="C14">
        <v>422123</v>
      </c>
      <c r="D14" t="s">
        <v>41</v>
      </c>
      <c r="E14" s="3">
        <v>0.50138888888888888</v>
      </c>
      <c r="F14" s="3">
        <v>0.59375</v>
      </c>
    </row>
    <row r="15" spans="1:6">
      <c r="A15" s="1">
        <v>45534</v>
      </c>
      <c r="B15" t="s">
        <v>25</v>
      </c>
      <c r="C15">
        <v>422124</v>
      </c>
      <c r="D15" t="s">
        <v>41</v>
      </c>
      <c r="E15" s="3">
        <v>0.59375</v>
      </c>
      <c r="F15" s="3">
        <v>0.66319444444444442</v>
      </c>
    </row>
    <row r="16" spans="1:6">
      <c r="A16" s="1">
        <v>45534</v>
      </c>
      <c r="B16" t="s">
        <v>25</v>
      </c>
      <c r="C16">
        <v>422125</v>
      </c>
      <c r="D16" t="s">
        <v>39</v>
      </c>
      <c r="E16" s="3">
        <v>0.66319444444444442</v>
      </c>
      <c r="F16" s="3">
        <v>0.71875</v>
      </c>
    </row>
    <row r="17" spans="1:6">
      <c r="A17" s="1">
        <v>45534</v>
      </c>
      <c r="B17" t="s">
        <v>25</v>
      </c>
      <c r="C17">
        <v>422126</v>
      </c>
      <c r="D17" t="s">
        <v>39</v>
      </c>
      <c r="E17" s="3">
        <v>0.71875</v>
      </c>
      <c r="F17" s="3">
        <v>0.79097222222222219</v>
      </c>
    </row>
    <row r="18" spans="1:6">
      <c r="A18" s="1">
        <v>45534</v>
      </c>
      <c r="B18" t="s">
        <v>25</v>
      </c>
      <c r="C18">
        <v>422127</v>
      </c>
      <c r="D18" t="s">
        <v>39</v>
      </c>
      <c r="E18" s="3">
        <v>0.79097222222222219</v>
      </c>
      <c r="F18" s="3">
        <v>0.84861111111111109</v>
      </c>
    </row>
    <row r="19" spans="1:6">
      <c r="A19" s="1">
        <v>45534</v>
      </c>
      <c r="B19" t="s">
        <v>25</v>
      </c>
      <c r="C19">
        <v>422128</v>
      </c>
      <c r="D19" t="s">
        <v>39</v>
      </c>
      <c r="E19" s="3">
        <v>0.84861111111111109</v>
      </c>
      <c r="F19" s="3">
        <v>0.92638888888888893</v>
      </c>
    </row>
    <row r="20" spans="1:6">
      <c r="A20" s="1">
        <v>45534</v>
      </c>
      <c r="B20" t="s">
        <v>25</v>
      </c>
      <c r="C20">
        <v>422129</v>
      </c>
      <c r="D20" t="s">
        <v>39</v>
      </c>
      <c r="E20" s="3">
        <v>0.92638888888888893</v>
      </c>
      <c r="F20" s="3">
        <v>0.97847222222222219</v>
      </c>
    </row>
    <row r="21" spans="1:6">
      <c r="A21" s="1">
        <v>45535</v>
      </c>
      <c r="B21" t="s">
        <v>25</v>
      </c>
      <c r="C21">
        <v>422130</v>
      </c>
      <c r="D21" t="s">
        <v>40</v>
      </c>
      <c r="E21" s="3">
        <v>0.32291666666666669</v>
      </c>
      <c r="F21" s="3">
        <v>0.37847222222222221</v>
      </c>
    </row>
    <row r="22" spans="1:6">
      <c r="A22" s="1">
        <v>45535</v>
      </c>
      <c r="B22" t="s">
        <v>25</v>
      </c>
      <c r="C22">
        <v>422131</v>
      </c>
      <c r="D22" t="s">
        <v>40</v>
      </c>
      <c r="E22" s="3">
        <v>0.37847222222222221</v>
      </c>
      <c r="F22" s="3">
        <v>0.44097222222222221</v>
      </c>
    </row>
    <row r="23" spans="1:6">
      <c r="A23" s="1">
        <v>45535</v>
      </c>
      <c r="B23" t="s">
        <v>25</v>
      </c>
      <c r="C23">
        <v>422132</v>
      </c>
      <c r="D23" t="s">
        <v>40</v>
      </c>
      <c r="E23" s="3">
        <v>0.44097222222222221</v>
      </c>
      <c r="F23" s="3">
        <v>0.4826388888888889</v>
      </c>
    </row>
    <row r="24" spans="1:6">
      <c r="A24" s="1">
        <v>45535</v>
      </c>
      <c r="B24" t="s">
        <v>26</v>
      </c>
      <c r="C24">
        <v>422133</v>
      </c>
      <c r="D24" t="s">
        <v>40</v>
      </c>
      <c r="E24" s="3">
        <v>0.4826388888888889</v>
      </c>
      <c r="F24" s="3">
        <v>0.53819444444444442</v>
      </c>
    </row>
    <row r="25" spans="1:6">
      <c r="A25" s="1">
        <v>45535</v>
      </c>
      <c r="B25" t="s">
        <v>26</v>
      </c>
      <c r="C25">
        <v>422134</v>
      </c>
      <c r="D25" t="s">
        <v>42</v>
      </c>
      <c r="E25" s="3">
        <v>0.53819444444444442</v>
      </c>
      <c r="F25" s="3">
        <v>0.61458333333333337</v>
      </c>
    </row>
    <row r="26" spans="1:6">
      <c r="A26" s="1">
        <v>45535</v>
      </c>
      <c r="B26" t="s">
        <v>26</v>
      </c>
      <c r="C26">
        <v>422135</v>
      </c>
      <c r="D26" t="s">
        <v>42</v>
      </c>
      <c r="E26" s="3">
        <v>0.61458333333333337</v>
      </c>
      <c r="F26" s="3">
        <v>0.6875</v>
      </c>
    </row>
    <row r="27" spans="1:6">
      <c r="A27" s="1">
        <v>45535</v>
      </c>
      <c r="B27" t="s">
        <v>26</v>
      </c>
      <c r="C27">
        <v>422136</v>
      </c>
      <c r="D27" t="s">
        <v>42</v>
      </c>
      <c r="E27" s="3">
        <v>0.6875</v>
      </c>
      <c r="F27" s="3">
        <v>0.72916666666666663</v>
      </c>
    </row>
    <row r="28" spans="1:6">
      <c r="A28" s="1">
        <v>45537</v>
      </c>
      <c r="B28" t="s">
        <v>27</v>
      </c>
      <c r="C28">
        <v>422137</v>
      </c>
      <c r="D28" t="s">
        <v>40</v>
      </c>
      <c r="E28" s="3">
        <v>4.1666666666666664E-2</v>
      </c>
      <c r="F28" s="3">
        <v>0.11458333333333333</v>
      </c>
    </row>
    <row r="29" spans="1:6">
      <c r="A29" s="1">
        <v>45537</v>
      </c>
      <c r="B29" t="s">
        <v>27</v>
      </c>
      <c r="C29">
        <v>422138</v>
      </c>
      <c r="D29" t="s">
        <v>40</v>
      </c>
      <c r="E29" s="3">
        <v>0.11458333333333333</v>
      </c>
      <c r="F29" s="3">
        <v>0.1701388888888889</v>
      </c>
    </row>
    <row r="30" spans="1:6">
      <c r="A30" s="1">
        <v>45537</v>
      </c>
      <c r="B30" t="s">
        <v>27</v>
      </c>
      <c r="C30">
        <v>422139</v>
      </c>
      <c r="D30" t="s">
        <v>40</v>
      </c>
      <c r="E30" s="3">
        <v>0.1701388888888889</v>
      </c>
      <c r="F30" s="3">
        <v>0.2361111111111111</v>
      </c>
    </row>
    <row r="31" spans="1:6">
      <c r="A31" s="1">
        <v>45537</v>
      </c>
      <c r="B31" t="s">
        <v>27</v>
      </c>
      <c r="C31">
        <v>422140</v>
      </c>
      <c r="D31" t="s">
        <v>40</v>
      </c>
      <c r="E31" s="3">
        <v>0.2361111111111111</v>
      </c>
      <c r="F31" s="3">
        <v>0.3215277777777778</v>
      </c>
    </row>
    <row r="32" spans="1:6">
      <c r="A32" s="1">
        <v>45537</v>
      </c>
      <c r="B32" t="s">
        <v>27</v>
      </c>
      <c r="C32">
        <v>422141</v>
      </c>
      <c r="D32" t="s">
        <v>41</v>
      </c>
      <c r="E32" s="3">
        <v>0.3215277777777778</v>
      </c>
      <c r="F32" s="3">
        <v>0.36805555555555558</v>
      </c>
    </row>
    <row r="33" spans="1:6">
      <c r="A33" s="1">
        <v>45537</v>
      </c>
      <c r="B33" t="s">
        <v>27</v>
      </c>
      <c r="C33">
        <v>422142</v>
      </c>
      <c r="D33" t="s">
        <v>41</v>
      </c>
      <c r="E33" s="3">
        <v>0.36805555555555558</v>
      </c>
      <c r="F33" s="3">
        <v>0.43055555555555558</v>
      </c>
    </row>
    <row r="34" spans="1:6">
      <c r="A34" s="1">
        <v>45537</v>
      </c>
      <c r="B34" t="s">
        <v>27</v>
      </c>
      <c r="C34">
        <v>422143</v>
      </c>
      <c r="D34" t="s">
        <v>41</v>
      </c>
      <c r="E34" s="3">
        <v>0.43055555555555558</v>
      </c>
      <c r="F34" s="3">
        <v>0.51249999999999996</v>
      </c>
    </row>
    <row r="35" spans="1:6">
      <c r="A35" s="1">
        <v>45537</v>
      </c>
      <c r="B35" t="s">
        <v>28</v>
      </c>
      <c r="C35">
        <v>422144</v>
      </c>
      <c r="D35" t="s">
        <v>41</v>
      </c>
      <c r="E35" s="3">
        <v>0.51249999999999996</v>
      </c>
      <c r="F35" s="3">
        <v>0.61805555555555558</v>
      </c>
    </row>
    <row r="36" spans="1:6">
      <c r="A36" s="1">
        <v>45537</v>
      </c>
      <c r="B36" t="s">
        <v>28</v>
      </c>
      <c r="C36">
        <v>422145</v>
      </c>
      <c r="D36" t="s">
        <v>39</v>
      </c>
      <c r="E36" s="3">
        <v>0.61805555555555558</v>
      </c>
      <c r="F36" s="3">
        <v>0.70138888888888895</v>
      </c>
    </row>
    <row r="37" spans="1:6">
      <c r="A37" s="1">
        <v>45537</v>
      </c>
      <c r="B37" t="s">
        <v>28</v>
      </c>
      <c r="C37">
        <v>422146</v>
      </c>
      <c r="D37" t="s">
        <v>39</v>
      </c>
      <c r="E37" s="3">
        <v>0.70138888888888895</v>
      </c>
      <c r="F37" s="3">
        <v>0.8125</v>
      </c>
    </row>
    <row r="38" spans="1:6">
      <c r="A38" s="1">
        <v>45537</v>
      </c>
      <c r="B38" t="s">
        <v>28</v>
      </c>
      <c r="C38">
        <v>422147</v>
      </c>
      <c r="D38" t="s">
        <v>39</v>
      </c>
      <c r="E38" s="3">
        <v>0.8125</v>
      </c>
      <c r="F38" s="3">
        <v>0.95486111111111116</v>
      </c>
    </row>
    <row r="39" spans="1:6">
      <c r="A39" s="1">
        <v>45538</v>
      </c>
      <c r="B39" t="s">
        <v>28</v>
      </c>
      <c r="C39">
        <v>422148</v>
      </c>
      <c r="D39" t="s">
        <v>42</v>
      </c>
      <c r="E39" s="3">
        <v>0.95486111111111116</v>
      </c>
      <c r="F39" s="3">
        <v>1.0451388888888888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7A9A-369F-46C5-93C5-09FBB32FF7C0}">
  <dimension ref="A1:D7"/>
  <sheetViews>
    <sheetView workbookViewId="0">
      <selection activeCell="D41" sqref="D41"/>
    </sheetView>
  </sheetViews>
  <sheetFormatPr defaultRowHeight="14.25"/>
  <cols>
    <col min="1" max="1" width="12.375" customWidth="1"/>
    <col min="2" max="2" width="11.125" bestFit="1" customWidth="1"/>
    <col min="4" max="4" width="15.625" customWidth="1"/>
  </cols>
  <sheetData>
    <row r="1" spans="1:4" ht="15">
      <c r="A1" s="2" t="s">
        <v>1</v>
      </c>
      <c r="B1" s="2" t="s">
        <v>29</v>
      </c>
      <c r="C1" s="2" t="s">
        <v>30</v>
      </c>
      <c r="D1" s="2" t="s">
        <v>38</v>
      </c>
    </row>
    <row r="2" spans="1:4">
      <c r="A2" t="s">
        <v>23</v>
      </c>
      <c r="B2" t="s">
        <v>31</v>
      </c>
      <c r="C2" t="s">
        <v>37</v>
      </c>
      <c r="D2">
        <v>60</v>
      </c>
    </row>
    <row r="3" spans="1:4">
      <c r="A3" t="s">
        <v>24</v>
      </c>
      <c r="B3" t="s">
        <v>32</v>
      </c>
      <c r="C3" t="s">
        <v>37</v>
      </c>
      <c r="D3">
        <v>60</v>
      </c>
    </row>
    <row r="4" spans="1:4">
      <c r="A4" t="s">
        <v>25</v>
      </c>
      <c r="B4" t="s">
        <v>33</v>
      </c>
      <c r="C4" t="s">
        <v>37</v>
      </c>
      <c r="D4">
        <v>60</v>
      </c>
    </row>
    <row r="5" spans="1:4">
      <c r="A5" t="s">
        <v>26</v>
      </c>
      <c r="B5" t="s">
        <v>34</v>
      </c>
      <c r="C5" t="s">
        <v>37</v>
      </c>
      <c r="D5">
        <v>60</v>
      </c>
    </row>
    <row r="6" spans="1:4">
      <c r="A6" t="s">
        <v>27</v>
      </c>
      <c r="B6" t="s">
        <v>35</v>
      </c>
      <c r="C6" t="s">
        <v>37</v>
      </c>
      <c r="D6">
        <v>60</v>
      </c>
    </row>
    <row r="7" spans="1:4">
      <c r="A7" t="s">
        <v>28</v>
      </c>
      <c r="B7" t="s">
        <v>33</v>
      </c>
      <c r="C7" t="s">
        <v>36</v>
      </c>
      <c r="D7">
        <v>98</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156D-DBB5-4EA9-A733-8897AD1035D5}">
  <dimension ref="A1:C13"/>
  <sheetViews>
    <sheetView workbookViewId="0">
      <selection activeCell="B7" sqref="B7"/>
    </sheetView>
  </sheetViews>
  <sheetFormatPr defaultRowHeight="14.25"/>
  <cols>
    <col min="1" max="1" width="8.875" customWidth="1"/>
    <col min="2" max="2" width="19.25" bestFit="1" customWidth="1"/>
    <col min="3" max="3" width="15.875" customWidth="1"/>
  </cols>
  <sheetData>
    <row r="1" spans="1:3" ht="15">
      <c r="A1" s="2" t="s">
        <v>6</v>
      </c>
      <c r="B1" s="2" t="s">
        <v>22</v>
      </c>
      <c r="C1" s="2" t="s">
        <v>7</v>
      </c>
    </row>
    <row r="2" spans="1:3">
      <c r="A2">
        <v>1</v>
      </c>
      <c r="B2" t="s">
        <v>17</v>
      </c>
      <c r="C2" t="s">
        <v>20</v>
      </c>
    </row>
    <row r="3" spans="1:3">
      <c r="A3">
        <v>2</v>
      </c>
      <c r="B3" t="s">
        <v>8</v>
      </c>
      <c r="C3" t="s">
        <v>21</v>
      </c>
    </row>
    <row r="4" spans="1:3">
      <c r="A4">
        <v>3</v>
      </c>
      <c r="B4" t="s">
        <v>19</v>
      </c>
      <c r="C4" t="s">
        <v>20</v>
      </c>
    </row>
    <row r="5" spans="1:3">
      <c r="A5">
        <v>4</v>
      </c>
      <c r="B5" t="s">
        <v>14</v>
      </c>
      <c r="C5" t="s">
        <v>20</v>
      </c>
    </row>
    <row r="6" spans="1:3">
      <c r="A6">
        <v>5</v>
      </c>
      <c r="B6" t="s">
        <v>10</v>
      </c>
      <c r="C6" t="s">
        <v>21</v>
      </c>
    </row>
    <row r="7" spans="1:3">
      <c r="A7">
        <v>6</v>
      </c>
      <c r="B7" t="s">
        <v>9</v>
      </c>
      <c r="C7" t="s">
        <v>21</v>
      </c>
    </row>
    <row r="8" spans="1:3">
      <c r="A8">
        <v>7</v>
      </c>
      <c r="B8" t="s">
        <v>12</v>
      </c>
      <c r="C8" t="s">
        <v>20</v>
      </c>
    </row>
    <row r="9" spans="1:3">
      <c r="A9">
        <v>8</v>
      </c>
      <c r="B9" t="s">
        <v>13</v>
      </c>
      <c r="C9" t="s">
        <v>21</v>
      </c>
    </row>
    <row r="10" spans="1:3">
      <c r="A10">
        <v>9</v>
      </c>
      <c r="B10" t="s">
        <v>15</v>
      </c>
      <c r="C10" t="s">
        <v>20</v>
      </c>
    </row>
    <row r="11" spans="1:3">
      <c r="A11">
        <v>10</v>
      </c>
      <c r="B11" t="s">
        <v>18</v>
      </c>
      <c r="C11" t="s">
        <v>21</v>
      </c>
    </row>
    <row r="12" spans="1:3">
      <c r="A12">
        <v>11</v>
      </c>
      <c r="B12" t="s">
        <v>11</v>
      </c>
      <c r="C12" t="s">
        <v>21</v>
      </c>
    </row>
    <row r="13" spans="1:3">
      <c r="A13">
        <v>12</v>
      </c>
      <c r="B13" t="s">
        <v>16</v>
      </c>
      <c r="C13" t="s">
        <v>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3E6B-C648-491E-9E5D-F67501FDD632}">
  <dimension ref="A1:M39"/>
  <sheetViews>
    <sheetView workbookViewId="0">
      <selection activeCell="G5" sqref="G5"/>
    </sheetView>
  </sheetViews>
  <sheetFormatPr defaultRowHeight="14.25"/>
  <cols>
    <col min="1" max="1" width="8.875" customWidth="1"/>
    <col min="2" max="13" width="5.625" customWidth="1"/>
  </cols>
  <sheetData>
    <row r="1" spans="1:13" ht="15">
      <c r="A1" s="7" t="s">
        <v>2</v>
      </c>
      <c r="B1" s="8" t="s">
        <v>43</v>
      </c>
      <c r="C1" s="8" t="s">
        <v>44</v>
      </c>
      <c r="D1" s="8" t="s">
        <v>45</v>
      </c>
      <c r="E1" s="8" t="s">
        <v>46</v>
      </c>
      <c r="F1" s="8" t="s">
        <v>47</v>
      </c>
      <c r="G1" s="8" t="s">
        <v>48</v>
      </c>
      <c r="H1" s="8" t="s">
        <v>49</v>
      </c>
      <c r="I1" s="8" t="s">
        <v>50</v>
      </c>
      <c r="J1" s="8" t="s">
        <v>51</v>
      </c>
      <c r="K1" s="8" t="s">
        <v>52</v>
      </c>
      <c r="L1" s="8" t="s">
        <v>53</v>
      </c>
      <c r="M1" s="9" t="s">
        <v>54</v>
      </c>
    </row>
    <row r="2" spans="1:13">
      <c r="A2" s="10">
        <v>422111</v>
      </c>
      <c r="B2" s="11"/>
      <c r="C2" s="11">
        <v>60</v>
      </c>
      <c r="D2" s="11"/>
      <c r="E2" s="11"/>
      <c r="F2" s="11"/>
      <c r="G2" s="11"/>
      <c r="H2" s="11">
        <v>15</v>
      </c>
      <c r="I2" s="11"/>
      <c r="J2" s="11"/>
      <c r="K2" s="11"/>
      <c r="L2" s="11"/>
      <c r="M2" s="12"/>
    </row>
    <row r="3" spans="1:13">
      <c r="A3" s="13">
        <v>422112</v>
      </c>
      <c r="B3" s="14"/>
      <c r="C3" s="14">
        <v>20</v>
      </c>
      <c r="D3" s="14"/>
      <c r="E3" s="14"/>
      <c r="F3" s="14"/>
      <c r="G3" s="14"/>
      <c r="H3" s="14"/>
      <c r="I3" s="14">
        <v>20</v>
      </c>
      <c r="J3" s="14"/>
      <c r="K3" s="14"/>
      <c r="L3" s="14"/>
      <c r="M3" s="15"/>
    </row>
    <row r="4" spans="1:13">
      <c r="A4" s="10">
        <v>422113</v>
      </c>
      <c r="B4" s="11"/>
      <c r="C4" s="11">
        <v>50</v>
      </c>
      <c r="D4" s="11"/>
      <c r="E4" s="11"/>
      <c r="F4" s="11"/>
      <c r="G4" s="11"/>
      <c r="H4" s="11"/>
      <c r="I4" s="11"/>
      <c r="J4" s="11"/>
      <c r="K4" s="11"/>
      <c r="L4" s="11"/>
      <c r="M4" s="12"/>
    </row>
    <row r="5" spans="1:13">
      <c r="A5" s="13">
        <v>422114</v>
      </c>
      <c r="B5" s="14"/>
      <c r="C5" s="14"/>
      <c r="D5" s="14"/>
      <c r="E5" s="14">
        <v>25</v>
      </c>
      <c r="F5" s="14"/>
      <c r="G5" s="14">
        <v>15</v>
      </c>
      <c r="H5" s="14"/>
      <c r="I5" s="14"/>
      <c r="J5" s="14"/>
      <c r="K5" s="14"/>
      <c r="L5" s="14"/>
      <c r="M5" s="15"/>
    </row>
    <row r="6" spans="1:13">
      <c r="A6" s="10">
        <v>422115</v>
      </c>
      <c r="B6" s="11"/>
      <c r="C6" s="11"/>
      <c r="D6" s="11"/>
      <c r="E6" s="11"/>
      <c r="F6" s="11"/>
      <c r="G6" s="11"/>
      <c r="H6" s="11"/>
      <c r="I6" s="11"/>
      <c r="J6" s="11"/>
      <c r="K6" s="11">
        <v>24</v>
      </c>
      <c r="L6" s="11"/>
      <c r="M6" s="12"/>
    </row>
    <row r="7" spans="1:13">
      <c r="A7" s="13">
        <v>422116</v>
      </c>
      <c r="B7" s="14"/>
      <c r="C7" s="14"/>
      <c r="D7" s="14"/>
      <c r="E7" s="14"/>
      <c r="F7" s="14"/>
      <c r="G7" s="14"/>
      <c r="H7" s="14"/>
      <c r="I7" s="14"/>
      <c r="J7" s="14"/>
      <c r="K7" s="14"/>
      <c r="L7" s="14"/>
      <c r="M7" s="15"/>
    </row>
    <row r="8" spans="1:13">
      <c r="A8" s="10">
        <v>422117</v>
      </c>
      <c r="B8" s="11"/>
      <c r="C8" s="11">
        <v>10</v>
      </c>
      <c r="D8" s="11"/>
      <c r="E8" s="11"/>
      <c r="F8" s="11"/>
      <c r="G8" s="11">
        <v>5</v>
      </c>
      <c r="H8" s="11"/>
      <c r="I8" s="11"/>
      <c r="J8" s="11"/>
      <c r="K8" s="11"/>
      <c r="L8" s="11"/>
      <c r="M8" s="12"/>
    </row>
    <row r="9" spans="1:13">
      <c r="A9" s="13">
        <v>422118</v>
      </c>
      <c r="B9" s="14"/>
      <c r="C9" s="14"/>
      <c r="D9" s="14"/>
      <c r="E9" s="14"/>
      <c r="F9" s="14"/>
      <c r="G9" s="14">
        <v>14</v>
      </c>
      <c r="H9" s="14">
        <v>16</v>
      </c>
      <c r="I9" s="14"/>
      <c r="J9" s="14"/>
      <c r="K9" s="14"/>
      <c r="L9" s="14">
        <v>10</v>
      </c>
      <c r="M9" s="15">
        <v>20</v>
      </c>
    </row>
    <row r="10" spans="1:13">
      <c r="A10" s="10">
        <v>422119</v>
      </c>
      <c r="B10" s="11"/>
      <c r="C10" s="11"/>
      <c r="D10" s="11"/>
      <c r="E10" s="11">
        <v>25</v>
      </c>
      <c r="F10" s="11"/>
      <c r="G10" s="11"/>
      <c r="H10" s="11"/>
      <c r="I10" s="11"/>
      <c r="J10" s="11"/>
      <c r="K10" s="11"/>
      <c r="L10" s="11"/>
      <c r="M10" s="12"/>
    </row>
    <row r="11" spans="1:13">
      <c r="A11" s="13">
        <v>422120</v>
      </c>
      <c r="B11" s="14"/>
      <c r="C11" s="14"/>
      <c r="D11" s="14"/>
      <c r="E11" s="14">
        <v>20</v>
      </c>
      <c r="F11" s="14">
        <v>15</v>
      </c>
      <c r="G11" s="14"/>
      <c r="H11" s="14"/>
      <c r="I11" s="14"/>
      <c r="J11" s="14">
        <v>17</v>
      </c>
      <c r="K11" s="14"/>
      <c r="L11" s="14"/>
      <c r="M11" s="15"/>
    </row>
    <row r="12" spans="1:13">
      <c r="A12" s="10">
        <v>422121</v>
      </c>
      <c r="B12" s="11"/>
      <c r="C12" s="11"/>
      <c r="D12" s="11"/>
      <c r="E12" s="11"/>
      <c r="F12" s="11"/>
      <c r="G12" s="11"/>
      <c r="H12" s="11">
        <v>15</v>
      </c>
      <c r="I12" s="11"/>
      <c r="J12" s="11"/>
      <c r="K12" s="11"/>
      <c r="L12" s="11"/>
      <c r="M12" s="12"/>
    </row>
    <row r="13" spans="1:13">
      <c r="A13" s="13">
        <v>422122</v>
      </c>
      <c r="B13" s="14"/>
      <c r="C13" s="14"/>
      <c r="D13" s="14"/>
      <c r="E13" s="14"/>
      <c r="F13" s="14"/>
      <c r="G13" s="14"/>
      <c r="H13" s="14">
        <v>25</v>
      </c>
      <c r="I13" s="14"/>
      <c r="J13" s="14"/>
      <c r="K13" s="14"/>
      <c r="L13" s="14"/>
      <c r="M13" s="15"/>
    </row>
    <row r="14" spans="1:13">
      <c r="A14" s="10">
        <v>422123</v>
      </c>
      <c r="B14" s="11"/>
      <c r="C14" s="11"/>
      <c r="D14" s="11"/>
      <c r="E14" s="11">
        <v>43</v>
      </c>
      <c r="F14" s="11"/>
      <c r="G14" s="11"/>
      <c r="H14" s="11">
        <v>30</v>
      </c>
      <c r="I14" s="11"/>
      <c r="J14" s="11"/>
      <c r="K14" s="11"/>
      <c r="L14" s="11"/>
      <c r="M14" s="12"/>
    </row>
    <row r="15" spans="1:13">
      <c r="A15" s="13">
        <v>422124</v>
      </c>
      <c r="B15" s="14"/>
      <c r="C15" s="14"/>
      <c r="D15" s="14"/>
      <c r="E15" s="14"/>
      <c r="F15" s="14">
        <v>20</v>
      </c>
      <c r="G15" s="14">
        <v>20</v>
      </c>
      <c r="H15" s="14"/>
      <c r="I15" s="14"/>
      <c r="J15" s="14"/>
      <c r="K15" s="14"/>
      <c r="L15" s="14"/>
      <c r="M15" s="15"/>
    </row>
    <row r="16" spans="1:13">
      <c r="A16" s="10">
        <v>422125</v>
      </c>
      <c r="B16" s="11"/>
      <c r="C16" s="11"/>
      <c r="D16" s="11"/>
      <c r="E16" s="11"/>
      <c r="F16" s="11"/>
      <c r="G16" s="11"/>
      <c r="H16" s="11"/>
      <c r="I16" s="11"/>
      <c r="J16" s="11"/>
      <c r="K16" s="11"/>
      <c r="L16" s="11">
        <v>10</v>
      </c>
      <c r="M16" s="12">
        <v>10</v>
      </c>
    </row>
    <row r="17" spans="1:13">
      <c r="A17" s="13">
        <v>422126</v>
      </c>
      <c r="B17" s="14"/>
      <c r="C17" s="14"/>
      <c r="D17" s="14"/>
      <c r="E17" s="14"/>
      <c r="F17" s="14"/>
      <c r="G17" s="14"/>
      <c r="H17" s="14"/>
      <c r="I17" s="14">
        <v>44</v>
      </c>
      <c r="J17" s="14"/>
      <c r="K17" s="14"/>
      <c r="L17" s="14"/>
      <c r="M17" s="15"/>
    </row>
    <row r="18" spans="1:13">
      <c r="A18" s="10">
        <v>422127</v>
      </c>
      <c r="B18" s="11"/>
      <c r="C18" s="11"/>
      <c r="D18" s="11"/>
      <c r="E18" s="11"/>
      <c r="F18" s="11"/>
      <c r="G18" s="11">
        <v>23</v>
      </c>
      <c r="H18" s="11"/>
      <c r="I18" s="11"/>
      <c r="J18" s="11"/>
      <c r="K18" s="11"/>
      <c r="L18" s="11"/>
      <c r="M18" s="12"/>
    </row>
    <row r="19" spans="1:13">
      <c r="A19" s="13">
        <v>422128</v>
      </c>
      <c r="B19" s="14"/>
      <c r="C19" s="14"/>
      <c r="D19" s="14"/>
      <c r="E19" s="14"/>
      <c r="F19" s="14">
        <v>22</v>
      </c>
      <c r="G19" s="14"/>
      <c r="H19" s="14">
        <v>30</v>
      </c>
      <c r="I19" s="14"/>
      <c r="J19" s="14"/>
      <c r="K19" s="14"/>
      <c r="L19" s="14"/>
      <c r="M19" s="15"/>
    </row>
    <row r="20" spans="1:13">
      <c r="A20" s="10">
        <v>422129</v>
      </c>
      <c r="B20" s="11"/>
      <c r="C20" s="11"/>
      <c r="D20" s="11"/>
      <c r="E20" s="11"/>
      <c r="F20" s="11"/>
      <c r="G20" s="11"/>
      <c r="H20" s="11"/>
      <c r="I20" s="11"/>
      <c r="J20" s="11"/>
      <c r="K20" s="11"/>
      <c r="L20" s="11"/>
      <c r="M20" s="12">
        <v>15</v>
      </c>
    </row>
    <row r="21" spans="1:13">
      <c r="A21" s="13">
        <v>422130</v>
      </c>
      <c r="B21" s="14"/>
      <c r="C21" s="14">
        <v>20</v>
      </c>
      <c r="D21" s="14"/>
      <c r="E21" s="14"/>
      <c r="F21" s="14"/>
      <c r="G21" s="14"/>
      <c r="H21" s="14"/>
      <c r="I21" s="14"/>
      <c r="J21" s="14"/>
      <c r="K21" s="14"/>
      <c r="L21" s="14"/>
      <c r="M21" s="15"/>
    </row>
    <row r="22" spans="1:13">
      <c r="A22" s="10">
        <v>422131</v>
      </c>
      <c r="B22" s="11"/>
      <c r="C22" s="11"/>
      <c r="D22" s="11"/>
      <c r="E22" s="11">
        <v>20</v>
      </c>
      <c r="F22" s="11"/>
      <c r="G22" s="11"/>
      <c r="H22" s="11"/>
      <c r="I22" s="11"/>
      <c r="J22" s="11"/>
      <c r="K22" s="11">
        <v>10</v>
      </c>
      <c r="L22" s="11"/>
      <c r="M22" s="12"/>
    </row>
    <row r="23" spans="1:13">
      <c r="A23" s="13">
        <v>422132</v>
      </c>
      <c r="B23" s="14"/>
      <c r="C23" s="14"/>
      <c r="D23" s="14"/>
      <c r="E23" s="14"/>
      <c r="F23" s="14"/>
      <c r="G23" s="14"/>
      <c r="H23" s="14"/>
      <c r="I23" s="14"/>
      <c r="J23" s="14"/>
      <c r="K23" s="14"/>
      <c r="L23" s="14"/>
      <c r="M23" s="15"/>
    </row>
    <row r="24" spans="1:13">
      <c r="A24" s="10">
        <v>422133</v>
      </c>
      <c r="B24" s="11"/>
      <c r="C24" s="11"/>
      <c r="D24" s="11"/>
      <c r="E24" s="11"/>
      <c r="F24" s="11"/>
      <c r="G24" s="11"/>
      <c r="H24" s="11">
        <v>20</v>
      </c>
      <c r="I24" s="11"/>
      <c r="J24" s="11"/>
      <c r="K24" s="11"/>
      <c r="L24" s="11"/>
      <c r="M24" s="12"/>
    </row>
    <row r="25" spans="1:13">
      <c r="A25" s="13">
        <v>422134</v>
      </c>
      <c r="B25" s="14"/>
      <c r="C25" s="14"/>
      <c r="D25" s="14"/>
      <c r="E25" s="14"/>
      <c r="F25" s="14"/>
      <c r="G25" s="14"/>
      <c r="H25" s="14">
        <v>30</v>
      </c>
      <c r="I25" s="14">
        <v>20</v>
      </c>
      <c r="J25" s="14"/>
      <c r="K25" s="14"/>
      <c r="L25" s="14"/>
      <c r="M25" s="15"/>
    </row>
    <row r="26" spans="1:13">
      <c r="A26" s="10">
        <v>422135</v>
      </c>
      <c r="B26" s="11"/>
      <c r="C26" s="11"/>
      <c r="D26" s="11"/>
      <c r="E26" s="11">
        <v>30</v>
      </c>
      <c r="F26" s="11"/>
      <c r="G26" s="11"/>
      <c r="H26" s="11"/>
      <c r="I26" s="11"/>
      <c r="J26" s="11"/>
      <c r="K26" s="11"/>
      <c r="L26" s="11"/>
      <c r="M26" s="12">
        <v>15</v>
      </c>
    </row>
    <row r="27" spans="1:13">
      <c r="A27" s="13">
        <v>422136</v>
      </c>
      <c r="B27" s="14"/>
      <c r="C27" s="14"/>
      <c r="D27" s="14"/>
      <c r="E27" s="14"/>
      <c r="F27" s="14"/>
      <c r="G27" s="14"/>
      <c r="H27" s="14"/>
      <c r="I27" s="14"/>
      <c r="J27" s="14"/>
      <c r="K27" s="14"/>
      <c r="L27" s="14"/>
      <c r="M27" s="15"/>
    </row>
    <row r="28" spans="1:13">
      <c r="A28" s="10">
        <v>422137</v>
      </c>
      <c r="B28" s="11"/>
      <c r="C28" s="11"/>
      <c r="D28" s="11"/>
      <c r="E28" s="11"/>
      <c r="F28" s="11"/>
      <c r="G28" s="11"/>
      <c r="H28" s="11"/>
      <c r="I28" s="11">
        <v>30</v>
      </c>
      <c r="J28" s="11"/>
      <c r="K28" s="11">
        <v>15</v>
      </c>
      <c r="L28" s="11"/>
      <c r="M28" s="12"/>
    </row>
    <row r="29" spans="1:13">
      <c r="A29" s="13">
        <v>422138</v>
      </c>
      <c r="B29" s="14"/>
      <c r="C29" s="14"/>
      <c r="D29" s="14">
        <v>20</v>
      </c>
      <c r="E29" s="14"/>
      <c r="F29" s="14"/>
      <c r="G29" s="14"/>
      <c r="H29" s="14"/>
      <c r="I29" s="14"/>
      <c r="J29" s="14"/>
      <c r="K29" s="14"/>
      <c r="L29" s="14"/>
      <c r="M29" s="15"/>
    </row>
    <row r="30" spans="1:13">
      <c r="A30" s="10">
        <v>422139</v>
      </c>
      <c r="B30" s="11"/>
      <c r="C30" s="11"/>
      <c r="D30" s="11"/>
      <c r="E30" s="11">
        <v>20</v>
      </c>
      <c r="F30" s="11"/>
      <c r="G30" s="11">
        <v>15</v>
      </c>
      <c r="H30" s="11"/>
      <c r="I30" s="11"/>
      <c r="J30" s="11"/>
      <c r="K30" s="11"/>
      <c r="L30" s="11"/>
      <c r="M30" s="12"/>
    </row>
    <row r="31" spans="1:13">
      <c r="A31" s="13">
        <v>422140</v>
      </c>
      <c r="B31" s="14"/>
      <c r="C31" s="14"/>
      <c r="D31" s="14"/>
      <c r="E31" s="14"/>
      <c r="F31" s="14"/>
      <c r="G31" s="14">
        <v>50</v>
      </c>
      <c r="H31" s="14"/>
      <c r="I31" s="14"/>
      <c r="J31" s="14"/>
      <c r="K31" s="14"/>
      <c r="L31" s="14">
        <v>13</v>
      </c>
      <c r="M31" s="15"/>
    </row>
    <row r="32" spans="1:13">
      <c r="A32" s="10">
        <v>422141</v>
      </c>
      <c r="B32" s="11"/>
      <c r="C32" s="11"/>
      <c r="D32" s="11"/>
      <c r="E32" s="11"/>
      <c r="F32" s="11"/>
      <c r="G32" s="11"/>
      <c r="H32" s="11"/>
      <c r="I32" s="11"/>
      <c r="J32" s="11"/>
      <c r="K32" s="11"/>
      <c r="L32" s="11"/>
      <c r="M32" s="12">
        <v>7</v>
      </c>
    </row>
    <row r="33" spans="1:13">
      <c r="A33" s="13">
        <v>422142</v>
      </c>
      <c r="B33" s="14"/>
      <c r="C33" s="14"/>
      <c r="D33" s="14"/>
      <c r="E33" s="14"/>
      <c r="F33" s="14"/>
      <c r="G33" s="14">
        <v>30</v>
      </c>
      <c r="H33" s="14"/>
      <c r="I33" s="14"/>
      <c r="J33" s="14"/>
      <c r="K33" s="14"/>
      <c r="L33" s="14"/>
      <c r="M33" s="15"/>
    </row>
    <row r="34" spans="1:13">
      <c r="A34" s="10">
        <v>422143</v>
      </c>
      <c r="B34" s="11"/>
      <c r="C34" s="11"/>
      <c r="D34" s="11"/>
      <c r="E34" s="11"/>
      <c r="F34" s="11"/>
      <c r="G34" s="11">
        <v>40</v>
      </c>
      <c r="H34" s="11">
        <v>18</v>
      </c>
      <c r="I34" s="11"/>
      <c r="J34" s="11"/>
      <c r="K34" s="11"/>
      <c r="L34" s="11"/>
      <c r="M34" s="12"/>
    </row>
    <row r="35" spans="1:13">
      <c r="A35" s="13">
        <v>422144</v>
      </c>
      <c r="B35" s="14"/>
      <c r="C35" s="14"/>
      <c r="D35" s="14"/>
      <c r="E35" s="14"/>
      <c r="F35" s="14"/>
      <c r="G35" s="14">
        <v>30</v>
      </c>
      <c r="H35" s="14"/>
      <c r="I35" s="14">
        <v>24</v>
      </c>
      <c r="J35" s="14"/>
      <c r="K35" s="14"/>
      <c r="L35" s="14"/>
      <c r="M35" s="15"/>
    </row>
    <row r="36" spans="1:13">
      <c r="A36" s="10">
        <v>422145</v>
      </c>
      <c r="B36" s="11"/>
      <c r="C36" s="11"/>
      <c r="D36" s="11">
        <v>22</v>
      </c>
      <c r="E36" s="11"/>
      <c r="F36" s="11"/>
      <c r="G36" s="11"/>
      <c r="H36" s="11"/>
      <c r="I36" s="11"/>
      <c r="J36" s="11"/>
      <c r="K36" s="11"/>
      <c r="L36" s="11"/>
      <c r="M36" s="12"/>
    </row>
    <row r="37" spans="1:13">
      <c r="A37" s="13">
        <v>422146</v>
      </c>
      <c r="B37" s="14"/>
      <c r="C37" s="14"/>
      <c r="D37" s="14"/>
      <c r="E37" s="14"/>
      <c r="F37" s="14"/>
      <c r="G37" s="14">
        <v>30</v>
      </c>
      <c r="H37" s="14">
        <v>25</v>
      </c>
      <c r="I37" s="14"/>
      <c r="J37" s="14"/>
      <c r="K37" s="14"/>
      <c r="L37" s="14"/>
      <c r="M37" s="15">
        <v>7</v>
      </c>
    </row>
    <row r="38" spans="1:13">
      <c r="A38" s="10">
        <v>422147</v>
      </c>
      <c r="B38" s="11"/>
      <c r="C38" s="11"/>
      <c r="D38" s="11"/>
      <c r="E38" s="11">
        <v>17</v>
      </c>
      <c r="F38" s="11"/>
      <c r="G38" s="11">
        <v>60</v>
      </c>
      <c r="H38" s="11">
        <v>30</v>
      </c>
      <c r="I38" s="11"/>
      <c r="J38" s="11"/>
      <c r="K38" s="11"/>
      <c r="L38" s="11"/>
      <c r="M38" s="12"/>
    </row>
    <row r="39" spans="1:13">
      <c r="A39" s="4">
        <v>422148</v>
      </c>
      <c r="B39" s="5"/>
      <c r="C39" s="5"/>
      <c r="D39" s="5"/>
      <c r="E39" s="5">
        <v>25</v>
      </c>
      <c r="F39" s="5"/>
      <c r="G39" s="5"/>
      <c r="H39" s="5"/>
      <c r="I39" s="5">
        <v>7</v>
      </c>
      <c r="J39" s="5"/>
      <c r="K39" s="5"/>
      <c r="L39" s="5"/>
      <c r="M39"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CC02-2A23-417A-9E83-7B132AF36BE2}">
  <dimension ref="A1:C62"/>
  <sheetViews>
    <sheetView workbookViewId="0">
      <selection activeCell="B3" sqref="B3"/>
    </sheetView>
  </sheetViews>
  <sheetFormatPr defaultRowHeight="14.25"/>
  <cols>
    <col min="1" max="1" width="7.625" bestFit="1" customWidth="1"/>
    <col min="2" max="2" width="15.875" customWidth="1"/>
    <col min="3" max="4" width="7.375" bestFit="1" customWidth="1"/>
    <col min="5" max="5" width="21" bestFit="1" customWidth="1"/>
    <col min="6" max="6" width="7.375" bestFit="1" customWidth="1"/>
  </cols>
  <sheetData>
    <row r="1" spans="1:3">
      <c r="A1" t="s">
        <v>2</v>
      </c>
      <c r="B1" t="s">
        <v>6</v>
      </c>
      <c r="C1" t="s">
        <v>57</v>
      </c>
    </row>
    <row r="2" spans="1:3">
      <c r="A2">
        <v>422111</v>
      </c>
      <c r="B2">
        <v>2</v>
      </c>
      <c r="C2">
        <v>60</v>
      </c>
    </row>
    <row r="3" spans="1:3">
      <c r="A3">
        <v>422111</v>
      </c>
      <c r="B3">
        <v>7</v>
      </c>
      <c r="C3">
        <v>15</v>
      </c>
    </row>
    <row r="4" spans="1:3">
      <c r="A4">
        <v>422112</v>
      </c>
      <c r="B4">
        <v>2</v>
      </c>
      <c r="C4">
        <v>20</v>
      </c>
    </row>
    <row r="5" spans="1:3">
      <c r="A5">
        <v>422112</v>
      </c>
      <c r="B5">
        <v>8</v>
      </c>
      <c r="C5">
        <v>20</v>
      </c>
    </row>
    <row r="6" spans="1:3">
      <c r="A6">
        <v>422113</v>
      </c>
      <c r="B6">
        <v>2</v>
      </c>
      <c r="C6">
        <v>50</v>
      </c>
    </row>
    <row r="7" spans="1:3">
      <c r="A7">
        <v>422114</v>
      </c>
      <c r="B7">
        <v>4</v>
      </c>
      <c r="C7">
        <v>25</v>
      </c>
    </row>
    <row r="8" spans="1:3">
      <c r="A8">
        <v>422114</v>
      </c>
      <c r="B8">
        <v>6</v>
      </c>
      <c r="C8">
        <v>15</v>
      </c>
    </row>
    <row r="9" spans="1:3">
      <c r="A9">
        <v>422115</v>
      </c>
      <c r="B9">
        <v>10</v>
      </c>
      <c r="C9">
        <v>24</v>
      </c>
    </row>
    <row r="10" spans="1:3">
      <c r="A10">
        <v>422117</v>
      </c>
      <c r="B10">
        <v>2</v>
      </c>
      <c r="C10">
        <v>10</v>
      </c>
    </row>
    <row r="11" spans="1:3">
      <c r="A11">
        <v>422117</v>
      </c>
      <c r="B11">
        <v>6</v>
      </c>
      <c r="C11">
        <v>5</v>
      </c>
    </row>
    <row r="12" spans="1:3">
      <c r="A12">
        <v>422118</v>
      </c>
      <c r="B12">
        <v>6</v>
      </c>
      <c r="C12">
        <v>14</v>
      </c>
    </row>
    <row r="13" spans="1:3">
      <c r="A13">
        <v>422118</v>
      </c>
      <c r="B13">
        <v>7</v>
      </c>
      <c r="C13">
        <v>16</v>
      </c>
    </row>
    <row r="14" spans="1:3">
      <c r="A14">
        <v>422118</v>
      </c>
      <c r="B14">
        <v>11</v>
      </c>
      <c r="C14">
        <v>10</v>
      </c>
    </row>
    <row r="15" spans="1:3">
      <c r="A15">
        <v>422118</v>
      </c>
      <c r="B15">
        <v>12</v>
      </c>
      <c r="C15">
        <v>20</v>
      </c>
    </row>
    <row r="16" spans="1:3">
      <c r="A16">
        <v>422119</v>
      </c>
      <c r="B16">
        <v>4</v>
      </c>
      <c r="C16">
        <v>25</v>
      </c>
    </row>
    <row r="17" spans="1:3">
      <c r="A17">
        <v>422120</v>
      </c>
      <c r="B17">
        <v>4</v>
      </c>
      <c r="C17">
        <v>20</v>
      </c>
    </row>
    <row r="18" spans="1:3">
      <c r="A18">
        <v>422120</v>
      </c>
      <c r="B18">
        <v>5</v>
      </c>
      <c r="C18">
        <v>15</v>
      </c>
    </row>
    <row r="19" spans="1:3">
      <c r="A19">
        <v>422120</v>
      </c>
      <c r="B19">
        <v>9</v>
      </c>
      <c r="C19">
        <v>17</v>
      </c>
    </row>
    <row r="20" spans="1:3">
      <c r="A20">
        <v>422121</v>
      </c>
      <c r="B20">
        <v>7</v>
      </c>
      <c r="C20">
        <v>15</v>
      </c>
    </row>
    <row r="21" spans="1:3">
      <c r="A21">
        <v>422122</v>
      </c>
      <c r="B21">
        <v>7</v>
      </c>
      <c r="C21">
        <v>25</v>
      </c>
    </row>
    <row r="22" spans="1:3">
      <c r="A22">
        <v>422123</v>
      </c>
      <c r="B22">
        <v>4</v>
      </c>
      <c r="C22">
        <v>43</v>
      </c>
    </row>
    <row r="23" spans="1:3">
      <c r="A23">
        <v>422123</v>
      </c>
      <c r="B23">
        <v>7</v>
      </c>
      <c r="C23">
        <v>30</v>
      </c>
    </row>
    <row r="24" spans="1:3">
      <c r="A24">
        <v>422124</v>
      </c>
      <c r="B24">
        <v>5</v>
      </c>
      <c r="C24">
        <v>20</v>
      </c>
    </row>
    <row r="25" spans="1:3">
      <c r="A25">
        <v>422124</v>
      </c>
      <c r="B25">
        <v>6</v>
      </c>
      <c r="C25">
        <v>20</v>
      </c>
    </row>
    <row r="26" spans="1:3">
      <c r="A26">
        <v>422125</v>
      </c>
      <c r="B26">
        <v>11</v>
      </c>
      <c r="C26">
        <v>10</v>
      </c>
    </row>
    <row r="27" spans="1:3">
      <c r="A27">
        <v>422125</v>
      </c>
      <c r="B27">
        <v>12</v>
      </c>
      <c r="C27">
        <v>10</v>
      </c>
    </row>
    <row r="28" spans="1:3">
      <c r="A28">
        <v>422126</v>
      </c>
      <c r="B28">
        <v>8</v>
      </c>
      <c r="C28">
        <v>44</v>
      </c>
    </row>
    <row r="29" spans="1:3">
      <c r="A29">
        <v>422127</v>
      </c>
      <c r="B29">
        <v>6</v>
      </c>
      <c r="C29">
        <v>23</v>
      </c>
    </row>
    <row r="30" spans="1:3">
      <c r="A30">
        <v>422128</v>
      </c>
      <c r="B30">
        <v>5</v>
      </c>
      <c r="C30">
        <v>22</v>
      </c>
    </row>
    <row r="31" spans="1:3">
      <c r="A31">
        <v>422128</v>
      </c>
      <c r="B31">
        <v>7</v>
      </c>
      <c r="C31">
        <v>30</v>
      </c>
    </row>
    <row r="32" spans="1:3">
      <c r="A32">
        <v>422129</v>
      </c>
      <c r="B32">
        <v>12</v>
      </c>
      <c r="C32">
        <v>15</v>
      </c>
    </row>
    <row r="33" spans="1:3">
      <c r="A33">
        <v>422130</v>
      </c>
      <c r="B33">
        <v>2</v>
      </c>
      <c r="C33">
        <v>20</v>
      </c>
    </row>
    <row r="34" spans="1:3">
      <c r="A34">
        <v>422131</v>
      </c>
      <c r="B34">
        <v>4</v>
      </c>
      <c r="C34">
        <v>20</v>
      </c>
    </row>
    <row r="35" spans="1:3">
      <c r="A35">
        <v>422131</v>
      </c>
      <c r="B35">
        <v>10</v>
      </c>
      <c r="C35">
        <v>10</v>
      </c>
    </row>
    <row r="36" spans="1:3">
      <c r="A36">
        <v>422133</v>
      </c>
      <c r="B36">
        <v>7</v>
      </c>
      <c r="C36">
        <v>20</v>
      </c>
    </row>
    <row r="37" spans="1:3">
      <c r="A37">
        <v>422134</v>
      </c>
      <c r="B37">
        <v>7</v>
      </c>
      <c r="C37">
        <v>30</v>
      </c>
    </row>
    <row r="38" spans="1:3">
      <c r="A38">
        <v>422134</v>
      </c>
      <c r="B38">
        <v>8</v>
      </c>
      <c r="C38">
        <v>20</v>
      </c>
    </row>
    <row r="39" spans="1:3">
      <c r="A39">
        <v>422135</v>
      </c>
      <c r="B39">
        <v>4</v>
      </c>
      <c r="C39">
        <v>30</v>
      </c>
    </row>
    <row r="40" spans="1:3">
      <c r="A40">
        <v>422135</v>
      </c>
      <c r="B40">
        <v>12</v>
      </c>
      <c r="C40">
        <v>15</v>
      </c>
    </row>
    <row r="41" spans="1:3">
      <c r="A41">
        <v>422137</v>
      </c>
      <c r="B41">
        <v>8</v>
      </c>
      <c r="C41">
        <v>30</v>
      </c>
    </row>
    <row r="42" spans="1:3">
      <c r="A42">
        <v>422137</v>
      </c>
      <c r="B42">
        <v>10</v>
      </c>
      <c r="C42">
        <v>15</v>
      </c>
    </row>
    <row r="43" spans="1:3">
      <c r="A43">
        <v>422138</v>
      </c>
      <c r="B43">
        <v>3</v>
      </c>
      <c r="C43">
        <v>20</v>
      </c>
    </row>
    <row r="44" spans="1:3">
      <c r="A44">
        <v>422139</v>
      </c>
      <c r="B44">
        <v>4</v>
      </c>
      <c r="C44">
        <v>20</v>
      </c>
    </row>
    <row r="45" spans="1:3">
      <c r="A45">
        <v>422139</v>
      </c>
      <c r="B45">
        <v>6</v>
      </c>
      <c r="C45">
        <v>15</v>
      </c>
    </row>
    <row r="46" spans="1:3">
      <c r="A46">
        <v>422140</v>
      </c>
      <c r="B46">
        <v>6</v>
      </c>
      <c r="C46">
        <v>50</v>
      </c>
    </row>
    <row r="47" spans="1:3">
      <c r="A47">
        <v>422140</v>
      </c>
      <c r="B47">
        <v>11</v>
      </c>
      <c r="C47">
        <v>13</v>
      </c>
    </row>
    <row r="48" spans="1:3">
      <c r="A48">
        <v>422141</v>
      </c>
      <c r="B48">
        <v>12</v>
      </c>
      <c r="C48">
        <v>7</v>
      </c>
    </row>
    <row r="49" spans="1:3">
      <c r="A49">
        <v>422142</v>
      </c>
      <c r="B49">
        <v>6</v>
      </c>
      <c r="C49">
        <v>30</v>
      </c>
    </row>
    <row r="50" spans="1:3">
      <c r="A50">
        <v>422143</v>
      </c>
      <c r="B50">
        <v>6</v>
      </c>
      <c r="C50">
        <v>40</v>
      </c>
    </row>
    <row r="51" spans="1:3">
      <c r="A51">
        <v>422143</v>
      </c>
      <c r="B51">
        <v>7</v>
      </c>
      <c r="C51">
        <v>18</v>
      </c>
    </row>
    <row r="52" spans="1:3">
      <c r="A52">
        <v>422144</v>
      </c>
      <c r="B52">
        <v>6</v>
      </c>
      <c r="C52">
        <v>30</v>
      </c>
    </row>
    <row r="53" spans="1:3">
      <c r="A53">
        <v>422144</v>
      </c>
      <c r="B53">
        <v>8</v>
      </c>
      <c r="C53">
        <v>24</v>
      </c>
    </row>
    <row r="54" spans="1:3">
      <c r="A54">
        <v>422145</v>
      </c>
      <c r="B54">
        <v>3</v>
      </c>
      <c r="C54">
        <v>22</v>
      </c>
    </row>
    <row r="55" spans="1:3">
      <c r="A55">
        <v>422146</v>
      </c>
      <c r="B55">
        <v>6</v>
      </c>
      <c r="C55">
        <v>30</v>
      </c>
    </row>
    <row r="56" spans="1:3">
      <c r="A56">
        <v>422146</v>
      </c>
      <c r="B56">
        <v>7</v>
      </c>
      <c r="C56">
        <v>25</v>
      </c>
    </row>
    <row r="57" spans="1:3">
      <c r="A57">
        <v>422146</v>
      </c>
      <c r="B57">
        <v>12</v>
      </c>
      <c r="C57">
        <v>7</v>
      </c>
    </row>
    <row r="58" spans="1:3">
      <c r="A58">
        <v>422147</v>
      </c>
      <c r="B58">
        <v>4</v>
      </c>
      <c r="C58">
        <v>17</v>
      </c>
    </row>
    <row r="59" spans="1:3">
      <c r="A59">
        <v>422147</v>
      </c>
      <c r="B59">
        <v>6</v>
      </c>
      <c r="C59">
        <v>60</v>
      </c>
    </row>
    <row r="60" spans="1:3">
      <c r="A60">
        <v>422147</v>
      </c>
      <c r="B60">
        <v>7</v>
      </c>
      <c r="C60">
        <v>30</v>
      </c>
    </row>
    <row r="61" spans="1:3">
      <c r="A61">
        <v>422148</v>
      </c>
      <c r="B61">
        <v>4</v>
      </c>
      <c r="C61">
        <v>25</v>
      </c>
    </row>
    <row r="62" spans="1:3">
      <c r="A62">
        <v>422148</v>
      </c>
      <c r="B62">
        <v>8</v>
      </c>
      <c r="C62">
        <v>7</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1FDCFF3D-FB0E-4F0C-860D-DCEF43140310}">
  <ds:schemaRefs/>
</ds:datastoreItem>
</file>

<file path=customXml/itemProps2.xml><?xml version="1.0" encoding="utf-8"?>
<ds:datastoreItem xmlns:ds="http://schemas.openxmlformats.org/officeDocument/2006/customXml" ds:itemID="{F3D2EE2B-A672-4E03-BAAD-E90782B366EB}">
  <ds:schemaRefs/>
</ds:datastoreItem>
</file>

<file path=customXml/itemProps3.xml><?xml version="1.0" encoding="utf-8"?>
<ds:datastoreItem xmlns:ds="http://schemas.openxmlformats.org/officeDocument/2006/customXml" ds:itemID="{A8C7B0EC-5B52-4D66-A8F7-DA1B82F5FC41}">
  <ds:schemaRefs/>
</ds:datastoreItem>
</file>

<file path=customXml/itemProps4.xml><?xml version="1.0" encoding="utf-8"?>
<ds:datastoreItem xmlns:ds="http://schemas.openxmlformats.org/officeDocument/2006/customXml" ds:itemID="{44CC05E2-9A71-4945-9341-77E2FA545B77}">
  <ds:schemaRefs/>
</ds:datastoreItem>
</file>

<file path=customXml/itemProps5.xml><?xml version="1.0" encoding="utf-8"?>
<ds:datastoreItem xmlns:ds="http://schemas.openxmlformats.org/officeDocument/2006/customXml" ds:itemID="{D138EB5D-4954-43B7-80F8-F0351611563E}">
  <ds:schemaRefs/>
</ds:datastoreItem>
</file>

<file path=customXml/itemProps6.xml><?xml version="1.0" encoding="utf-8"?>
<ds:datastoreItem xmlns:ds="http://schemas.openxmlformats.org/officeDocument/2006/customXml" ds:itemID="{95380FE3-8625-4F3C-B611-BEDC5B6DA936}">
  <ds:schemaRefs/>
</ds:datastoreItem>
</file>

<file path=customXml/itemProps7.xml><?xml version="1.0" encoding="utf-8"?>
<ds:datastoreItem xmlns:ds="http://schemas.openxmlformats.org/officeDocument/2006/customXml" ds:itemID="{EB821D6E-433D-43D2-8976-6E0D3755FB6E}">
  <ds:schemaRefs/>
</ds:datastoreItem>
</file>

<file path=customXml/itemProps8.xml><?xml version="1.0" encoding="utf-8"?>
<ds:datastoreItem xmlns:ds="http://schemas.openxmlformats.org/officeDocument/2006/customXml" ds:itemID="{53F4848E-77B3-4633-8E91-820488DD7CF3}">
  <ds:schemaRefs/>
</ds:datastoreItem>
</file>

<file path=customXml/itemProps9.xml><?xml version="1.0" encoding="utf-8"?>
<ds:datastoreItem xmlns:ds="http://schemas.openxmlformats.org/officeDocument/2006/customXml" ds:itemID="{BA9CBD60-964E-450C-AB64-93A83655A5DD}">
  <ds:schemaRefs/>
</ds:datastoreItem>
</file>

<file path=customXml/itemProps10.xml><?xml version="1.0" encoding="utf-8"?>
<ds:datastoreItem xmlns:ds="http://schemas.openxmlformats.org/officeDocument/2006/customXml" ds:itemID="{4F5A9573-0A74-4F54-A487-914B2C800310}">
  <ds:schemaRefs/>
</ds:datastoreItem>
</file>

<file path=customXml/itemProps11.xml><?xml version="1.0" encoding="utf-8"?>
<ds:datastoreItem xmlns:ds="http://schemas.openxmlformats.org/officeDocument/2006/customXml" ds:itemID="{8F861075-7A77-4C0A-B656-D4250763222F}">
  <ds:schemaRefs/>
</ds:datastoreItem>
</file>

<file path=customXml/itemProps12.xml><?xml version="1.0" encoding="utf-8"?>
<ds:datastoreItem xmlns:ds="http://schemas.openxmlformats.org/officeDocument/2006/customXml" ds:itemID="{FAA9229F-BD0D-4FAA-B826-7C228834031F}">
  <ds:schemaRefs/>
</ds:datastoreItem>
</file>

<file path=customXml/itemProps13.xml><?xml version="1.0" encoding="utf-8"?>
<ds:datastoreItem xmlns:ds="http://schemas.openxmlformats.org/officeDocument/2006/customXml" ds:itemID="{AA1E8DC4-A26C-4576-A22D-60FCFE6946FE}">
  <ds:schemaRefs/>
</ds:datastoreItem>
</file>

<file path=customXml/itemProps14.xml><?xml version="1.0" encoding="utf-8"?>
<ds:datastoreItem xmlns:ds="http://schemas.openxmlformats.org/officeDocument/2006/customXml" ds:itemID="{FC991135-F73F-443C-B756-3710CB84AFF3}">
  <ds:schemaRefs/>
</ds:datastoreItem>
</file>

<file path=customXml/itemProps15.xml><?xml version="1.0" encoding="utf-8"?>
<ds:datastoreItem xmlns:ds="http://schemas.openxmlformats.org/officeDocument/2006/customXml" ds:itemID="{41D4BDC9-DB75-4C67-80DC-29D7C5606CB3}">
  <ds:schemaRefs/>
</ds:datastoreItem>
</file>

<file path=customXml/itemProps16.xml><?xml version="1.0" encoding="utf-8"?>
<ds:datastoreItem xmlns:ds="http://schemas.openxmlformats.org/officeDocument/2006/customXml" ds:itemID="{B1826583-FDB7-4805-AA4C-195BF54C9C6E}">
  <ds:schemaRefs/>
</ds:datastoreItem>
</file>

<file path=customXml/itemProps17.xml><?xml version="1.0" encoding="utf-8"?>
<ds:datastoreItem xmlns:ds="http://schemas.openxmlformats.org/officeDocument/2006/customXml" ds:itemID="{E7703868-9270-4001-B8E4-431A1ED9C77D}">
  <ds:schemaRefs>
    <ds:schemaRef ds:uri="http://schemas.microsoft.com/DataMashup"/>
  </ds:schemaRefs>
</ds:datastoreItem>
</file>

<file path=customXml/itemProps18.xml><?xml version="1.0" encoding="utf-8"?>
<ds:datastoreItem xmlns:ds="http://schemas.openxmlformats.org/officeDocument/2006/customXml" ds:itemID="{C8E74E9D-7343-4C2D-94AE-3A0AB8F0EB37}">
  <ds:schemaRefs/>
</ds:datastoreItem>
</file>

<file path=customXml/itemProps19.xml><?xml version="1.0" encoding="utf-8"?>
<ds:datastoreItem xmlns:ds="http://schemas.openxmlformats.org/officeDocument/2006/customXml" ds:itemID="{6974E504-530B-45A0-9EB4-0C1AB6240C3C}">
  <ds:schemaRefs/>
</ds:datastoreItem>
</file>

<file path=customXml/itemProps20.xml><?xml version="1.0" encoding="utf-8"?>
<ds:datastoreItem xmlns:ds="http://schemas.openxmlformats.org/officeDocument/2006/customXml" ds:itemID="{414BF4EC-950A-46BB-878C-7A827EF7D696}">
  <ds:schemaRefs/>
</ds:datastoreItem>
</file>

<file path=customXml/itemProps21.xml><?xml version="1.0" encoding="utf-8"?>
<ds:datastoreItem xmlns:ds="http://schemas.openxmlformats.org/officeDocument/2006/customXml" ds:itemID="{EBCB87DD-4061-4C04-9E3D-5ACEA0CC7058}">
  <ds:schemaRefs/>
</ds:datastoreItem>
</file>

<file path=customXml/itemProps22.xml><?xml version="1.0" encoding="utf-8"?>
<ds:datastoreItem xmlns:ds="http://schemas.openxmlformats.org/officeDocument/2006/customXml" ds:itemID="{5C758894-2EDA-476B-9C5A-B922DABCD374}">
  <ds:schemaRefs/>
</ds:datastoreItem>
</file>

<file path=customXml/itemProps23.xml><?xml version="1.0" encoding="utf-8"?>
<ds:datastoreItem xmlns:ds="http://schemas.openxmlformats.org/officeDocument/2006/customXml" ds:itemID="{5757CC90-8B1B-4313-89FF-B6ECFFBDFC1F}">
  <ds:schemaRefs/>
</ds:datastoreItem>
</file>

<file path=customXml/itemProps24.xml><?xml version="1.0" encoding="utf-8"?>
<ds:datastoreItem xmlns:ds="http://schemas.openxmlformats.org/officeDocument/2006/customXml" ds:itemID="{B1623AF8-1376-46A8-8880-4BD37B0BDBF0}">
  <ds:schemaRefs/>
</ds:datastoreItem>
</file>

<file path=customXml/itemProps25.xml><?xml version="1.0" encoding="utf-8"?>
<ds:datastoreItem xmlns:ds="http://schemas.openxmlformats.org/officeDocument/2006/customXml" ds:itemID="{C1A0B04B-5D38-4EE0-BB9B-D5EB23A2743F}">
  <ds:schemaRefs/>
</ds:datastoreItem>
</file>

<file path=customXml/itemProps26.xml><?xml version="1.0" encoding="utf-8"?>
<ds:datastoreItem xmlns:ds="http://schemas.openxmlformats.org/officeDocument/2006/customXml" ds:itemID="{ED41A9A8-B795-4EC5-AA66-0CD771CFC8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vt:lpstr>
      <vt:lpstr>Sheet1</vt:lpstr>
      <vt:lpstr>Line productivity</vt:lpstr>
      <vt:lpstr>Products</vt:lpstr>
      <vt:lpstr>Downtime factors</vt:lpstr>
      <vt:lpstr>Line downtime</vt:lpstr>
      <vt:lpstr>line_downtime2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Akmal Bakeri</cp:lastModifiedBy>
  <dcterms:created xsi:type="dcterms:W3CDTF">2024-08-19T19:52:48Z</dcterms:created>
  <dcterms:modified xsi:type="dcterms:W3CDTF">2026-02-05T06:50:47Z</dcterms:modified>
</cp:coreProperties>
</file>